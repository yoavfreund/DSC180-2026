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Choices" sheetId="1" r:id="rId5"/>
    <sheet state="visible" name="Mentor Choices" sheetId="2" r:id="rId6"/>
    <sheet state="visible" name="bydomain" sheetId="3" r:id="rId7"/>
    <sheet state="visible" name="bystudent" sheetId="4" r:id="rId8"/>
    <sheet state="visible" name="AllocStats" sheetId="5" r:id="rId9"/>
    <sheet state="visible" name="mentors" sheetId="6" r:id="rId10"/>
    <sheet state="visible" name="enrollment" sheetId="7" r:id="rId11"/>
    <sheet state="visible" name="PIDtoTSN" sheetId="8" r:id="rId12"/>
    <sheet state="visible" name="Sept 5 Enroll" sheetId="9" r:id="rId13"/>
    <sheet state="visible" name="Sept16" sheetId="10" r:id="rId14"/>
  </sheets>
  <definedNames>
    <definedName hidden="1" localSheetId="8" name="_xlnm._FilterDatabase">'Sept 5 Enroll'!$A$1:$J$883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98">
      <text>
        <t xml:space="preserve">Responder updated this value.</t>
      </text>
    </comment>
    <comment authorId="0" ref="J34">
      <text>
        <t xml:space="preserve">Responder updated this value.</t>
      </text>
    </comment>
    <comment authorId="0" ref="L34">
      <text>
        <t xml:space="preserve">Responder updated this value.</t>
      </text>
    </comment>
    <comment authorId="0" ref="F216">
      <text>
        <t xml:space="preserve">Responder updated this value.</t>
      </text>
    </comment>
    <comment authorId="0" ref="I216">
      <text>
        <t xml:space="preserve">Responder updated this value.</t>
      </text>
    </comment>
    <comment authorId="0" ref="J216">
      <text>
        <t xml:space="preserve">Responder updated this value.</t>
      </text>
    </comment>
    <comment authorId="0" ref="K216">
      <text>
        <t xml:space="preserve">Responder updated this value.</t>
      </text>
    </comment>
    <comment authorId="0" ref="L216">
      <text>
        <t xml:space="preserve">Responder updated this value.</t>
      </text>
    </comment>
    <comment authorId="0" ref="M216">
      <text>
        <t xml:space="preserve">Responder updated this value.</t>
      </text>
    </comment>
    <comment authorId="0" ref="N216">
      <text>
        <t xml:space="preserve">Responder updated this value.</t>
      </text>
    </comment>
    <comment authorId="0" ref="O216">
      <text>
        <t xml:space="preserve">Responder updated this value.</t>
      </text>
    </comment>
    <comment authorId="0" ref="K151">
      <text>
        <t xml:space="preserve">Responder updated this value.</t>
      </text>
    </comment>
    <comment authorId="0" ref="M151">
      <text>
        <t xml:space="preserve">Responder updated this value.</t>
      </text>
    </comment>
    <comment authorId="0" ref="N151">
      <text>
        <t xml:space="preserve">Responder updated this value.</t>
      </text>
    </comment>
    <comment authorId="0" ref="O151">
      <text>
        <t xml:space="preserve">Responder updated this value.</t>
      </text>
    </comment>
    <comment authorId="0" ref="P151">
      <text>
        <t xml:space="preserve">Responder updated this value.</t>
      </text>
    </comment>
    <comment authorId="0" ref="Q151">
      <text>
        <t xml:space="preserve">Responder updated this value.</t>
      </text>
    </comment>
    <comment authorId="0" ref="F300">
      <text>
        <t xml:space="preserve">Responder updated this value.</t>
      </text>
    </comment>
    <comment authorId="0" ref="R151">
      <text>
        <t xml:space="preserve">Responder updated this value.</t>
      </text>
    </comment>
    <comment authorId="0" ref="G300">
      <text>
        <t xml:space="preserve">Responder updated this value.</t>
      </text>
    </comment>
    <comment authorId="0" ref="G267">
      <text>
        <t xml:space="preserve">Responder updated this value.</t>
      </text>
    </comment>
    <comment authorId="0" ref="I300">
      <text>
        <t xml:space="preserve">Responder updated this value.</t>
      </text>
    </comment>
    <comment authorId="0" ref="J300">
      <text>
        <t xml:space="preserve">Responder updated this value.</t>
      </text>
    </comment>
    <comment authorId="0" ref="K300">
      <text>
        <t xml:space="preserve">Responder updated this value.</t>
      </text>
    </comment>
    <comment authorId="0" ref="L300">
      <text>
        <t xml:space="preserve">Responder updated this value.</t>
      </text>
    </comment>
    <comment authorId="0" ref="M300">
      <text>
        <t xml:space="preserve">Responder updated this value.</t>
      </text>
    </comment>
    <comment authorId="0" ref="N300">
      <text>
        <t xml:space="preserve">Responder updated this value.</t>
      </text>
    </comment>
    <comment authorId="0" ref="O300">
      <text>
        <t xml:space="preserve">Responder updated this value.</t>
      </text>
    </comment>
    <comment authorId="0" ref="P300">
      <text>
        <t xml:space="preserve">Responder updated this value.</t>
      </text>
    </comment>
    <comment authorId="0" ref="Q300">
      <text>
        <t xml:space="preserve">Responder updated this value.</t>
      </text>
    </comment>
    <comment authorId="0" ref="R300">
      <text>
        <t xml:space="preserve">Responder updated this value.</t>
      </text>
    </comment>
    <comment authorId="0" ref="F268">
      <text>
        <t xml:space="preserve">Responder updated this value.</t>
      </text>
    </comment>
    <comment authorId="0" ref="G268">
      <text>
        <t xml:space="preserve">Responder updated this value.</t>
      </text>
    </comment>
    <comment authorId="0" ref="J301">
      <text>
        <t xml:space="preserve">Responder updated this value.</t>
      </text>
    </comment>
    <comment authorId="0" ref="L301">
      <text>
        <t xml:space="preserve">Responder updated this value.</t>
      </text>
    </comment>
    <comment authorId="0" ref="I4">
      <text>
        <t xml:space="preserve">Responder updated this value.</t>
      </text>
    </comment>
    <comment authorId="0" ref="J4">
      <text>
        <t xml:space="preserve">Responder updated this value.</t>
      </text>
    </comment>
    <comment authorId="0" ref="F285">
      <text>
        <t xml:space="preserve">Responder updated this value.</t>
      </text>
    </comment>
    <comment authorId="0" ref="G285">
      <text>
        <t xml:space="preserve">Responder updated this value.</t>
      </text>
    </comment>
    <comment authorId="0" ref="E120">
      <text>
        <t xml:space="preserve">Responder updated this value.</t>
      </text>
    </comment>
    <comment authorId="0" ref="I219">
      <text>
        <t xml:space="preserve">Responder updated this value.</t>
      </text>
    </comment>
    <comment authorId="0" ref="J219">
      <text>
        <t xml:space="preserve">Responder updated this value.</t>
      </text>
    </comment>
    <comment authorId="0" ref="R219">
      <text>
        <t xml:space="preserve">Responder updated this value.</t>
      </text>
    </comment>
    <comment authorId="0" ref="G269">
      <text>
        <t xml:space="preserve">Responder updated this value.</t>
      </text>
    </comment>
    <comment authorId="0" ref="G236">
      <text>
        <t xml:space="preserve">Responder updated this value.</t>
      </text>
    </comment>
    <comment authorId="0" ref="F38">
      <text>
        <t xml:space="preserve">Responder updated this value.</t>
      </text>
    </comment>
    <comment authorId="0" ref="G38">
      <text>
        <t xml:space="preserve">Responder updated this value.</t>
      </text>
    </comment>
    <comment authorId="0" ref="N269">
      <text>
        <t xml:space="preserve">Responder updated this value.</t>
      </text>
    </comment>
    <comment authorId="0" ref="O269">
      <text>
        <t xml:space="preserve">Responder updated this value.</t>
      </text>
    </comment>
    <comment authorId="0" ref="P269">
      <text>
        <t xml:space="preserve">Responder updated this value.</t>
      </text>
    </comment>
    <comment authorId="0" ref="Q269">
      <text>
        <t xml:space="preserve">Responder updated this value.</t>
      </text>
    </comment>
    <comment authorId="0" ref="N137">
      <text>
        <t xml:space="preserve">Responder updated this value.</t>
      </text>
    </comment>
    <comment authorId="0" ref="R269">
      <text>
        <t xml:space="preserve">Responder updated this value.</t>
      </text>
    </comment>
    <comment authorId="0" ref="O137">
      <text>
        <t xml:space="preserve">Responder updated this value.</t>
      </text>
    </comment>
    <comment authorId="0" ref="P137">
      <text>
        <t xml:space="preserve">Responder updated this value.</t>
      </text>
    </comment>
    <comment authorId="0" ref="Q137">
      <text>
        <t xml:space="preserve">Responder updated this value.</t>
      </text>
    </comment>
    <comment authorId="0" ref="R137">
      <text>
        <t xml:space="preserve">Responder updated this value.</t>
      </text>
    </comment>
    <comment authorId="0" ref="M55">
      <text>
        <t xml:space="preserve">Responder updated this value.</t>
      </text>
    </comment>
    <comment authorId="0" ref="N55">
      <text>
        <t xml:space="preserve">Responder updated this value.</t>
      </text>
    </comment>
    <comment authorId="0" ref="O55">
      <text>
        <t xml:space="preserve">Responder updated this value.</t>
      </text>
    </comment>
    <comment authorId="0" ref="P55">
      <text>
        <t xml:space="preserve">Responder updated this value.</t>
      </text>
    </comment>
    <comment authorId="0" ref="Q55">
      <text>
        <t xml:space="preserve">Responder updated this value.</t>
      </text>
    </comment>
    <comment authorId="0" ref="R55">
      <text>
        <t xml:space="preserve">Responder updated this value.</t>
      </text>
    </comment>
    <comment authorId="0" ref="F271">
      <text>
        <t xml:space="preserve">Responder updated this value.</t>
      </text>
    </comment>
    <comment authorId="0" ref="F288">
      <text>
        <t xml:space="preserve">Responder updated this value.</t>
      </text>
    </comment>
    <comment authorId="0" ref="F255">
      <text>
        <t xml:space="preserve">Responder updated this value.</t>
      </text>
    </comment>
    <comment authorId="0" ref="G288">
      <text>
        <t xml:space="preserve">Responder updated this value.</t>
      </text>
    </comment>
    <comment authorId="0" ref="F222">
      <text>
        <t xml:space="preserve">Responder updated this value.</t>
      </text>
    </comment>
    <comment authorId="0" ref="G255">
      <text>
        <t xml:space="preserve">Responder updated this value.</t>
      </text>
    </comment>
    <comment authorId="0" ref="G222">
      <text>
        <t xml:space="preserve">Responder updated this value.</t>
      </text>
    </comment>
    <comment authorId="0" ref="I255">
      <text>
        <t xml:space="preserve">Responder updated this value.</t>
      </text>
    </comment>
    <comment authorId="0" ref="J255">
      <text>
        <t xml:space="preserve">Responder updated this value.</t>
      </text>
    </comment>
    <comment authorId="0" ref="K255">
      <text>
        <t xml:space="preserve">Responder updated this value.</t>
      </text>
    </comment>
    <comment authorId="0" ref="L255">
      <text>
        <t xml:space="preserve">Responder updated this value.</t>
      </text>
    </comment>
    <comment authorId="0" ref="M255">
      <text>
        <t xml:space="preserve">Responder updated this value.</t>
      </text>
    </comment>
    <comment authorId="0" ref="N255">
      <text>
        <t xml:space="preserve">Responder updated this value.</t>
      </text>
    </comment>
    <comment authorId="0" ref="O255">
      <text>
        <t xml:space="preserve">Responder updated this value.</t>
      </text>
    </comment>
    <comment authorId="0" ref="P255">
      <text>
        <t xml:space="preserve">Responder updated this value.</t>
      </text>
    </comment>
    <comment authorId="0" ref="Q255">
      <text>
        <t xml:space="preserve">Responder updated this value.</t>
      </text>
    </comment>
    <comment authorId="0" ref="N123">
      <text>
        <t xml:space="preserve">Responder updated this value.</t>
      </text>
    </comment>
    <comment authorId="0" ref="R255">
      <text>
        <t xml:space="preserve">Responder updated this value.</t>
      </text>
    </comment>
    <comment authorId="0" ref="F305">
      <text>
        <t xml:space="preserve">Responder updated this value.</t>
      </text>
    </comment>
    <comment authorId="0" ref="G305">
      <text>
        <t xml:space="preserve">Responder updated this value.</t>
      </text>
    </comment>
    <comment authorId="0" ref="F239">
      <text>
        <t xml:space="preserve">Responder updated this value.</t>
      </text>
    </comment>
    <comment authorId="0" ref="G272">
      <text>
        <t xml:space="preserve">Responder updated this value.</t>
      </text>
    </comment>
    <comment authorId="0" ref="F206">
      <text>
        <t xml:space="preserve">Responder updated this value.</t>
      </text>
    </comment>
    <comment authorId="0" ref="G206">
      <text>
        <t xml:space="preserve">Responder updated this value.</t>
      </text>
    </comment>
    <comment authorId="0" ref="I239">
      <text>
        <t xml:space="preserve">Responder updated this value.</t>
      </text>
    </comment>
    <comment authorId="0" ref="J239">
      <text>
        <t xml:space="preserve">Responder updated this value.</t>
      </text>
    </comment>
    <comment authorId="0" ref="L74">
      <text>
        <t xml:space="preserve">Responder updated this value.</t>
      </text>
    </comment>
    <comment authorId="0" ref="M74">
      <text>
        <t xml:space="preserve">Responder updated this value.</t>
      </text>
    </comment>
    <comment authorId="0" ref="N74">
      <text>
        <t xml:space="preserve">Responder updated this value.</t>
      </text>
    </comment>
    <comment authorId="0" ref="O74">
      <text>
        <t xml:space="preserve">Responder updated this value.</t>
      </text>
    </comment>
    <comment authorId="0" ref="P74">
      <text>
        <t xml:space="preserve">Responder updated this value.</t>
      </text>
    </comment>
    <comment authorId="0" ref="F256">
      <text>
        <t xml:space="preserve">Responder updated this value.</t>
      </text>
    </comment>
    <comment authorId="0" ref="Q74">
      <text>
        <t xml:space="preserve">Responder updated this value.</t>
      </text>
    </comment>
    <comment authorId="0" ref="G256">
      <text>
        <t xml:space="preserve">Responder updated this value.</t>
      </text>
    </comment>
    <comment authorId="0" ref="R74">
      <text>
        <t xml:space="preserve">Responder updated this value.</t>
      </text>
    </comment>
    <comment authorId="0" ref="O289">
      <text>
        <t xml:space="preserve">Responder updated this value.</t>
      </text>
    </comment>
    <comment authorId="0" ref="P289">
      <text>
        <t xml:space="preserve">Responder updated this value.</t>
      </text>
    </comment>
    <comment authorId="0" ref="P256">
      <text>
        <t xml:space="preserve">Responder updated this value.</t>
      </text>
    </comment>
    <comment authorId="0" ref="Q289">
      <text>
        <t xml:space="preserve">Responder updated this value.</t>
      </text>
    </comment>
    <comment authorId="0" ref="Q256">
      <text>
        <t xml:space="preserve">Responder updated this value.</t>
      </text>
    </comment>
    <comment authorId="0" ref="R289">
      <text>
        <t xml:space="preserve">Responder updated this value.</t>
      </text>
    </comment>
    <comment authorId="0" ref="F174">
      <text>
        <t xml:space="preserve">Responder updated this value.</t>
      </text>
    </comment>
    <comment authorId="0" ref="G174">
      <text>
        <t xml:space="preserve">Responder updated this value.</t>
      </text>
    </comment>
    <comment authorId="0" ref="G75">
      <text>
        <t xml:space="preserve">Responder updated this value.</t>
      </text>
    </comment>
    <comment authorId="0" ref="F9">
      <text>
        <t xml:space="preserve">Responder updated this value.</t>
      </text>
    </comment>
    <comment authorId="0" ref="G9">
      <text>
        <t xml:space="preserve">Responder updated this value.</t>
      </text>
    </comment>
    <comment authorId="0" ref="I75">
      <text>
        <t xml:space="preserve">Responder updated this value.</t>
      </text>
    </comment>
    <comment authorId="0" ref="J75">
      <text>
        <t xml:space="preserve">Responder updated this value.</t>
      </text>
    </comment>
    <comment authorId="0" ref="K75">
      <text>
        <t xml:space="preserve">Responder updated this value.</t>
      </text>
    </comment>
    <comment authorId="0" ref="L75">
      <text>
        <t xml:space="preserve">Responder updated this value.</t>
      </text>
    </comment>
    <comment authorId="0" ref="M75">
      <text>
        <t xml:space="preserve">Responder updated this value.</t>
      </text>
    </comment>
    <comment authorId="0" ref="N75">
      <text>
        <t xml:space="preserve">Responder updated this value.</t>
      </text>
    </comment>
    <comment authorId="0" ref="O75">
      <text>
        <t xml:space="preserve">Responder updated this value.</t>
      </text>
    </comment>
    <comment authorId="0" ref="P75">
      <text>
        <t xml:space="preserve">Responder updated this value.</t>
      </text>
    </comment>
    <comment authorId="0" ref="Q75">
      <text>
        <t xml:space="preserve">Responder updated this value.</t>
      </text>
    </comment>
    <comment authorId="0" ref="R75">
      <text>
        <t xml:space="preserve">Responder updated this value.</t>
      </text>
    </comment>
    <comment authorId="0" ref="F125">
      <text>
        <t xml:space="preserve">Responder updated this value.</t>
      </text>
    </comment>
    <comment authorId="0" ref="G125">
      <text>
        <t xml:space="preserve">Responder updated this value.</t>
      </text>
    </comment>
    <comment authorId="0" ref="G274">
      <text>
        <t xml:space="preserve">Responder updated this value.</t>
      </text>
    </comment>
    <comment authorId="0" ref="L291">
      <text>
        <t xml:space="preserve">Responder updated this value.</t>
      </text>
    </comment>
    <comment authorId="0" ref="M291">
      <text>
        <t xml:space="preserve">Responder updated this value.</t>
      </text>
    </comment>
    <comment authorId="0" ref="N291">
      <text>
        <t xml:space="preserve">Responder updated this value.</t>
      </text>
    </comment>
    <comment authorId="0" ref="G27">
      <text>
        <t xml:space="preserve">Responder updated this value.</t>
      </text>
    </comment>
    <comment authorId="0" ref="O291">
      <text>
        <t xml:space="preserve">Responder updated this value.</t>
      </text>
    </comment>
    <comment authorId="0" ref="P291">
      <text>
        <t xml:space="preserve">Responder updated this value.</t>
      </text>
    </comment>
    <comment authorId="0" ref="Q291">
      <text>
        <t xml:space="preserve">Responder updated this value.</t>
      </text>
    </comment>
    <comment authorId="0" ref="J27">
      <text>
        <t xml:space="preserve">Responder updated this value.</t>
      </text>
    </comment>
    <comment authorId="0" ref="R291">
      <text>
        <t xml:space="preserve">Responder updated this value.</t>
      </text>
    </comment>
    <comment authorId="0" ref="K27">
      <text>
        <t xml:space="preserve">Responder updated this value.</t>
      </text>
    </comment>
    <comment authorId="0" ref="L27">
      <text>
        <t xml:space="preserve">Responder updated this value.</t>
      </text>
    </comment>
    <comment authorId="0" ref="M27">
      <text>
        <t xml:space="preserve">Responder updated this value.</t>
      </text>
    </comment>
    <comment authorId="0" ref="N27">
      <text>
        <t xml:space="preserve">Responder updated this value.</t>
      </text>
    </comment>
    <comment authorId="0" ref="I275">
      <text>
        <t xml:space="preserve">Responder updated this value.</t>
      </text>
    </comment>
    <comment authorId="0" ref="J275">
      <text>
        <t xml:space="preserve">Responder updated this value.</t>
      </text>
    </comment>
    <comment authorId="0" ref="K275">
      <text>
        <t xml:space="preserve">Responder updated this value.</t>
      </text>
    </comment>
    <comment authorId="0" ref="N308">
      <text>
        <t xml:space="preserve">Responder updated this value.</t>
      </text>
    </comment>
    <comment authorId="0" ref="O308">
      <text>
        <t xml:space="preserve">Responder updated this value.</t>
      </text>
    </comment>
    <comment authorId="0" ref="G11">
      <text>
        <t xml:space="preserve">Responder updated this value.</t>
      </text>
    </comment>
    <comment authorId="0" ref="F292">
      <text>
        <t xml:space="preserve">Responder updated this value.</t>
      </text>
    </comment>
    <comment authorId="0" ref="G292">
      <text>
        <t xml:space="preserve">Responder updated this value.</t>
      </text>
    </comment>
    <comment authorId="0" ref="F61">
      <text>
        <t xml:space="preserve">Responder updated this value.</t>
      </text>
    </comment>
    <comment authorId="0" ref="E243">
      <text>
        <t xml:space="preserve">Responder updated this value.</t>
      </text>
    </comment>
    <comment authorId="0" ref="L243">
      <text>
        <t xml:space="preserve">Responder updated this value.</t>
      </text>
    </comment>
    <comment authorId="0" ref="M243">
      <text>
        <t xml:space="preserve">Responder updated this value.</t>
      </text>
    </comment>
    <comment authorId="0" ref="P243">
      <text>
        <t xml:space="preserve">Responder updated this value.</t>
      </text>
    </comment>
    <comment authorId="0" ref="Q243">
      <text>
        <t xml:space="preserve">Responder updated this value.</t>
      </text>
    </comment>
    <comment authorId="0" ref="R243">
      <text>
        <t xml:space="preserve">Responder updated this value.</t>
      </text>
    </comment>
    <comment authorId="0" ref="E293">
      <text>
        <t xml:space="preserve">Responder updated this value.</t>
      </text>
    </comment>
    <comment authorId="0" ref="E161">
      <text>
        <t xml:space="preserve">Responder updated this value.</t>
      </text>
    </comment>
    <comment authorId="0" ref="G161">
      <text>
        <t xml:space="preserve">Responder updated this value.</t>
      </text>
    </comment>
    <comment authorId="0" ref="E145">
      <text>
        <t xml:space="preserve">Responder updated this value.</t>
      </text>
    </comment>
    <comment authorId="0" ref="P46">
      <text>
        <t xml:space="preserve">Responder updated this value.</t>
      </text>
    </comment>
    <comment authorId="0" ref="F162">
      <text>
        <t xml:space="preserve">Responder updated this value.</t>
      </text>
    </comment>
    <comment authorId="0" ref="R46">
      <text>
        <t xml:space="preserve">Responder updated this value.</t>
      </text>
    </comment>
    <comment authorId="0" ref="G162">
      <text>
        <t xml:space="preserve">Responder updated this value.</t>
      </text>
    </comment>
    <comment authorId="0" ref="F96">
      <text>
        <t xml:space="preserve">Responder updated this value.</t>
      </text>
    </comment>
    <comment authorId="0" ref="G96">
      <text>
        <t xml:space="preserve">Responder updated this value.</t>
      </text>
    </comment>
    <comment authorId="0" ref="G30">
      <text>
        <t xml:space="preserve">Responder updated this value.</t>
      </text>
    </comment>
    <comment authorId="0" ref="J96">
      <text>
        <t xml:space="preserve">Responder updated this value.</t>
      </text>
    </comment>
    <comment authorId="0" ref="F179">
      <text>
        <t xml:space="preserve">Responder updated this value.</t>
      </text>
    </comment>
    <comment authorId="0" ref="G179">
      <text>
        <t xml:space="preserve">Responder updated this value.</t>
      </text>
    </comment>
    <comment authorId="0" ref="I179">
      <text>
        <t xml:space="preserve">Responder updated this value.</t>
      </text>
    </comment>
    <comment authorId="0" ref="G47">
      <text>
        <t xml:space="preserve">Responder updated this value.</t>
      </text>
    </comment>
    <comment authorId="0" ref="L179">
      <text>
        <t xml:space="preserve">Responder updated this value.</t>
      </text>
    </comment>
    <comment authorId="0" ref="O278">
      <text>
        <t xml:space="preserve">Responder updated this value.</t>
      </text>
    </comment>
    <comment authorId="0" ref="N179">
      <text>
        <t xml:space="preserve">Responder updated this value.</t>
      </text>
    </comment>
    <comment authorId="0" ref="O179">
      <text>
        <t xml:space="preserve">Responder updated this value.</t>
      </text>
    </comment>
    <comment authorId="0" ref="P179">
      <text>
        <t xml:space="preserve">Responder updated this value.</t>
      </text>
    </comment>
    <comment authorId="0" ref="Q179">
      <text>
        <t xml:space="preserve">Responder updated this value.</t>
      </text>
    </comment>
    <comment authorId="0" ref="R179">
      <text>
        <t xml:space="preserve">Responder updated this value.</t>
      </text>
    </comment>
    <comment authorId="0" ref="E196">
      <text>
        <t xml:space="preserve">Responder updated this value.</t>
      </text>
    </comment>
    <comment authorId="0" ref="F196">
      <text>
        <t xml:space="preserve">Responder updated this value.</t>
      </text>
    </comment>
    <comment authorId="0" ref="G196">
      <text>
        <t xml:space="preserve">Responder updated this value.</t>
      </text>
    </comment>
    <comment authorId="0" ref="D213">
      <text>
        <t xml:space="preserve">Responder updated this value.</t>
      </text>
    </comment>
    <comment authorId="0" ref="F180">
      <text>
        <t xml:space="preserve">Responder updated this value.</t>
      </text>
    </comment>
    <comment authorId="0" ref="G180">
      <text>
        <t xml:space="preserve">Responder updated this value.</t>
      </text>
    </comment>
    <comment authorId="0" ref="J180">
      <text>
        <t xml:space="preserve">Responder updated this value.</t>
      </text>
    </comment>
    <comment authorId="0" ref="K180">
      <text>
        <t xml:space="preserve">Responder updated this value.</t>
      </text>
    </comment>
    <comment authorId="0" ref="L180">
      <text>
        <t xml:space="preserve">Responder updated this value.</t>
      </text>
    </comment>
    <comment authorId="0" ref="M180">
      <text>
        <t xml:space="preserve">Responder updated this value.</t>
      </text>
    </comment>
    <comment authorId="0" ref="I15">
      <text>
        <t xml:space="preserve">Responder updated this value.</t>
      </text>
    </comment>
    <comment authorId="0" ref="J15">
      <text>
        <t xml:space="preserve">Responder updated this value.</t>
      </text>
    </comment>
    <comment authorId="0" ref="K15">
      <text>
        <t xml:space="preserve">Responder updated this value.</t>
      </text>
    </comment>
    <comment authorId="0" ref="L15">
      <text>
        <t xml:space="preserve">Responder updated this value.</t>
      </text>
    </comment>
    <comment authorId="0" ref="Q180">
      <text>
        <t xml:space="preserve">Responder updated this value.</t>
      </text>
    </comment>
    <comment authorId="0" ref="M15">
      <text>
        <t xml:space="preserve">Responder updated this value.</t>
      </text>
    </comment>
    <comment authorId="0" ref="R180">
      <text>
        <t xml:space="preserve">Responder updated this value.</t>
      </text>
    </comment>
    <comment authorId="0" ref="N15">
      <text>
        <t xml:space="preserve">Responder updated this value.</t>
      </text>
    </comment>
    <comment authorId="0" ref="P15">
      <text>
        <t xml:space="preserve">Responder updated this value.</t>
      </text>
    </comment>
    <comment authorId="0" ref="Q15">
      <text>
        <t xml:space="preserve">Responder updated this value.</t>
      </text>
    </comment>
    <comment authorId="0" ref="R15">
      <text>
        <t xml:space="preserve">Responder updated this value.</t>
      </text>
    </comment>
    <comment authorId="0" ref="G164">
      <text>
        <t xml:space="preserve">Responder updated this value.</t>
      </text>
    </comment>
    <comment authorId="0" ref="G98">
      <text>
        <t xml:space="preserve">Responder updated this value.</t>
      </text>
    </comment>
    <comment authorId="0" ref="F99">
      <text>
        <t xml:space="preserve">Responder updated this value.</t>
      </text>
    </comment>
    <comment authorId="0" ref="J231">
      <text>
        <t xml:space="preserve">Responder updated this value.</t>
      </text>
    </comment>
    <comment authorId="0" ref="G99">
      <text>
        <t xml:space="preserve">Responder updated this value.</t>
      </text>
    </comment>
    <comment authorId="0" ref="K231">
      <text>
        <t xml:space="preserve">Responder updated this value.</t>
      </text>
    </comment>
    <comment authorId="0" ref="L231">
      <text>
        <t xml:space="preserve">Responder updated this value.</t>
      </text>
    </comment>
    <comment authorId="0" ref="G182">
      <text>
        <t xml:space="preserve">Responder updated this value.</t>
      </text>
    </comment>
    <comment authorId="0" ref="I298">
      <text>
        <t xml:space="preserve">Responder updated this value.</t>
      </text>
    </comment>
  </commentList>
</comments>
</file>

<file path=xl/sharedStrings.xml><?xml version="1.0" encoding="utf-8"?>
<sst xmlns="http://schemas.openxmlformats.org/spreadsheetml/2006/main" count="17245" uniqueCount="2285">
  <si>
    <t>PID</t>
  </si>
  <si>
    <t>Timestamp</t>
  </si>
  <si>
    <t>TSN</t>
  </si>
  <si>
    <t>Email Address</t>
  </si>
  <si>
    <t>Name</t>
  </si>
  <si>
    <t>Email</t>
  </si>
  <si>
    <t>Domain ID</t>
  </si>
  <si>
    <t>Mentor</t>
  </si>
  <si>
    <t>Full Name</t>
  </si>
  <si>
    <t>Whether Enrolled</t>
  </si>
  <si>
    <t>Resume</t>
  </si>
  <si>
    <t>A17372335</t>
  </si>
  <si>
    <t xml:space="preserve">Credits completed as of Spring 2026. Only include courses where you have a passing grade or higher.  If you are a transfer student include in this number any transferred credits. </t>
  </si>
  <si>
    <t>GPA</t>
  </si>
  <si>
    <t xml:space="preserve">Pre-requisites for DSC 180A - Please check these carefully before you certify.  It is entirely your responsibility to ensure eligibility. </t>
  </si>
  <si>
    <t>First Preference</t>
  </si>
  <si>
    <t xml:space="preserve"> Second Preference</t>
  </si>
  <si>
    <t xml:space="preserve"> Third Preference</t>
  </si>
  <si>
    <t xml:space="preserve"> Fourth Preference</t>
  </si>
  <si>
    <t xml:space="preserve"> Fifth Preference</t>
  </si>
  <si>
    <t xml:space="preserve"> Sixth Preference</t>
  </si>
  <si>
    <t xml:space="preserve"> Seventh Preference</t>
  </si>
  <si>
    <t xml:space="preserve"> Eighth Preference</t>
  </si>
  <si>
    <t xml:space="preserve"> Ninth Preference</t>
  </si>
  <si>
    <t xml:space="preserve"> Tenth Preference</t>
  </si>
  <si>
    <t>rgautama@ucsd.edu</t>
  </si>
  <si>
    <t>A18546099</t>
  </si>
  <si>
    <t>Rezon Gautama</t>
  </si>
  <si>
    <t xml:space="preserve">https://drive.google.com/file/d/1twfNFXw5etJwb4VSLD3lrfpHA1-lon9T/view?usp=sharing </t>
  </si>
  <si>
    <t>Capacity</t>
  </si>
  <si>
    <t>Allocated</t>
  </si>
  <si>
    <t>Spares</t>
  </si>
  <si>
    <t>Amjad Faiz Bin Muhamad Afandy</t>
  </si>
  <si>
    <t>amuhamadafandy@ucsd.edu</t>
  </si>
  <si>
    <t>D27</t>
  </si>
  <si>
    <t>Students</t>
  </si>
  <si>
    <t>D01</t>
  </si>
  <si>
    <t>Mentors</t>
  </si>
  <si>
    <t>Student 1</t>
  </si>
  <si>
    <t>Student 2</t>
  </si>
  <si>
    <t>Student 3</t>
  </si>
  <si>
    <t>Student 4</t>
  </si>
  <si>
    <t>Student 5</t>
  </si>
  <si>
    <t>Student 6</t>
  </si>
  <si>
    <t>Student 7</t>
  </si>
  <si>
    <t>Student 8</t>
  </si>
  <si>
    <t>Student 9</t>
  </si>
  <si>
    <t>Student 10</t>
  </si>
  <si>
    <t>Student 11</t>
  </si>
  <si>
    <t>I certify that I have completed the pre-requisites listed at https://datascience.ucsd.edu/current-students/course-descriptions-and-prerequisites/#dsc-180a-data-science-project-1 and I am eligible to enroll in DSC 180A.</t>
  </si>
  <si>
    <t>Student 12</t>
  </si>
  <si>
    <t>D36</t>
  </si>
  <si>
    <t>D37</t>
  </si>
  <si>
    <t>D23</t>
  </si>
  <si>
    <t>D28</t>
  </si>
  <si>
    <t>D05</t>
  </si>
  <si>
    <t>D08</t>
  </si>
  <si>
    <t>A17475690</t>
  </si>
  <si>
    <t>D10</t>
  </si>
  <si>
    <t>D12</t>
  </si>
  <si>
    <t>D42</t>
  </si>
  <si>
    <t>Ali Arsanjani</t>
  </si>
  <si>
    <t>abalasai@ucsd.edu</t>
  </si>
  <si>
    <t>Grace Chen</t>
  </si>
  <si>
    <t>gmc001@ucsd.edu</t>
  </si>
  <si>
    <t>A19290181</t>
  </si>
  <si>
    <t>D18</t>
  </si>
  <si>
    <t>Akshitaa Balasai</t>
  </si>
  <si>
    <t>https://drive.google.com/file/d/10O0wApXn_zQWFXEhmn8QHxOPJNKswQns/view?usp=sharing</t>
  </si>
  <si>
    <t>Akshitaa Balasai, April Huang, Bobby Zhou, Derek Kuang, Ethan Lam, Grace Trainor, Hannah Gonzalez, Janice Rincon, Jordi Pham, Kyle Flores, Rezon Gautama, Saanvi Ranadive, Susana Haing, Vanessa Lau, Zachary Loo, Sonali Singh</t>
  </si>
  <si>
    <t>D02</t>
  </si>
  <si>
    <t>Aobo Li</t>
  </si>
  <si>
    <t>A17709547</t>
  </si>
  <si>
    <t>D03</t>
  </si>
  <si>
    <t>Ben Smarr</t>
  </si>
  <si>
    <t>A18592255</t>
  </si>
  <si>
    <t xml:space="preserve">A17719081
</t>
  </si>
  <si>
    <t>Bryan Cruz, Hieu Nguyen, Madhav Pudukottai Krishnaraj, Ryan Conrad Atienza, Timothy Harmon</t>
  </si>
  <si>
    <t xml:space="preserve">A18513923
</t>
  </si>
  <si>
    <t>A17887951</t>
  </si>
  <si>
    <t>D04</t>
  </si>
  <si>
    <t>Biwei Huang</t>
  </si>
  <si>
    <t>D25</t>
  </si>
  <si>
    <t>D21</t>
  </si>
  <si>
    <t>Alisha Wang, Brandon Van Horn, Matthew Vaught, Vivian Lin</t>
  </si>
  <si>
    <t>D31</t>
  </si>
  <si>
    <t>hez018@ucsd.edu</t>
  </si>
  <si>
    <t>Haojian Jin</t>
  </si>
  <si>
    <t>Bryan Nguyen, Joey Sandoval, Juee Deshmukh, Kyle Zhao, Palina Volskaya, Scarlett Scott, Uzair Gheewala, Vani Sahjwani</t>
  </si>
  <si>
    <t>A17872179</t>
  </si>
  <si>
    <t>A18566916</t>
  </si>
  <si>
    <t>Bobby Zhou</t>
  </si>
  <si>
    <t>A18513923</t>
  </si>
  <si>
    <t>A17886164</t>
  </si>
  <si>
    <t>A18520711</t>
  </si>
  <si>
    <t>A17853531</t>
  </si>
  <si>
    <t>A17817280</t>
  </si>
  <si>
    <t>https://drive.google.com/file/d/1OdPD6UYzLG_Y4mVp0174_uVN121_jBqG/view?usp=sharing</t>
  </si>
  <si>
    <t>A18542060</t>
  </si>
  <si>
    <t>A18114647</t>
  </si>
  <si>
    <t>A18113461</t>
  </si>
  <si>
    <t>A18485962</t>
  </si>
  <si>
    <t>A18112290</t>
  </si>
  <si>
    <t>A17950464</t>
  </si>
  <si>
    <t>Ali Ahmed, Claire Lee, Daniel Huang, David Chew, Jared Parra, Justin Lee, Keanu Ventura, Lillian Tran, Marvell Suhali, Matthew Justine Viray, Ryan Lee, Sharon Tey</t>
  </si>
  <si>
    <t>D06</t>
  </si>
  <si>
    <t>Duncan Watson-Parris</t>
  </si>
  <si>
    <t>Matthew Lee</t>
  </si>
  <si>
    <t>mal060@ucsd.edu</t>
  </si>
  <si>
    <t>D13</t>
  </si>
  <si>
    <t>D07</t>
  </si>
  <si>
    <t>Emily Aiken</t>
  </si>
  <si>
    <t>Annaly Ellis, Cheryl Xiang, Coleman Clougherty, Coltrane Gowan, Jennifer Chang, Linus Lee, Roman Respicio, Vishal Rana Paidi</t>
  </si>
  <si>
    <t>Gabriel Garzo</t>
  </si>
  <si>
    <t>Margot Nissen, Maya Sissel, Mieko Chun, Prisha Maiti, Simone Rao, Su Love Wai</t>
  </si>
  <si>
    <t>A18505526</t>
  </si>
  <si>
    <t>A18111807</t>
  </si>
  <si>
    <t>A17718801</t>
  </si>
  <si>
    <t>A18539554</t>
  </si>
  <si>
    <t>A18609679</t>
  </si>
  <si>
    <t>A18590715</t>
  </si>
  <si>
    <t>A17855583</t>
  </si>
  <si>
    <t>A17870464</t>
  </si>
  <si>
    <t>A18605782</t>
  </si>
  <si>
    <t>Audrey Chung, Gabriel Maayah, Kang Lee, Kate Feng, Keilani Li, Siya Sathaye, Tiantian Zheng, Tristan Leo</t>
  </si>
  <si>
    <t>A18113311</t>
  </si>
  <si>
    <t>D09</t>
  </si>
  <si>
    <t>A17920154</t>
  </si>
  <si>
    <t>A17817145</t>
  </si>
  <si>
    <t>A17710650</t>
  </si>
  <si>
    <t>Igor Sfiligoi</t>
  </si>
  <si>
    <t>Ahmad Ageel, Dariy Marshaev, Dylan Vo, Junle Li, Khaleel Karim, Marcelo Arcos, Rohan Raval, Zonglin Zhang</t>
  </si>
  <si>
    <t>D30</t>
  </si>
  <si>
    <t>A18523157</t>
  </si>
  <si>
    <t>A17912246</t>
  </si>
  <si>
    <t>A18633375</t>
  </si>
  <si>
    <t>gtrainor@ucsd.edu</t>
  </si>
  <si>
    <t>A17770083</t>
  </si>
  <si>
    <t>Grace Trainor</t>
  </si>
  <si>
    <t>A18321535</t>
  </si>
  <si>
    <t>https://www.overleaf.com/read/yqfxvtzpvnjy#6cd4a7</t>
  </si>
  <si>
    <t>A19081559</t>
  </si>
  <si>
    <t>Aryan Nath, Jaden Goelkel, Jay Manjrekar, Joseph Calderon, Ketan Mittal, Ryan Lindberg, Sweekrit Bhatnagar</t>
  </si>
  <si>
    <t>Zach Cochran</t>
  </si>
  <si>
    <t>A17853057</t>
  </si>
  <si>
    <t>D11</t>
  </si>
  <si>
    <t>zcochran@ucsd.edu</t>
  </si>
  <si>
    <t>A17758046</t>
  </si>
  <si>
    <t>D15</t>
  </si>
  <si>
    <t>A18603940</t>
  </si>
  <si>
    <t>A17787465</t>
  </si>
  <si>
    <t>A17930477</t>
  </si>
  <si>
    <t>A18616536</t>
  </si>
  <si>
    <t>Aarshia Gupta, Clayton Tan, Dhruv Sehgal, Dylan Louie, Emily Yip, Erika Tong, Kaushik Agastyaraju, Yutao Lin</t>
  </si>
  <si>
    <t>A17987465</t>
  </si>
  <si>
    <t>A17711319</t>
  </si>
  <si>
    <t>A18554338</t>
  </si>
  <si>
    <t>A18504223</t>
  </si>
  <si>
    <t>A18112670</t>
  </si>
  <si>
    <t>Aiden Lai, Huiyu Yie, Ishaan Tibdewal, Jack Ding, Katie Hannigan, Liuxuhong Zhao, Michael Petersen, Sam Ouyang, Song Su, Steven Ouyang, Vanessa Feng, Zilig Xu</t>
  </si>
  <si>
    <t>A17784761</t>
  </si>
  <si>
    <t>A17929245</t>
  </si>
  <si>
    <t>A17832678</t>
  </si>
  <si>
    <t>A17768490</t>
  </si>
  <si>
    <t>Ilyes Meftah</t>
  </si>
  <si>
    <t>Antony Munkhchuluun, Audrey Meredith, Hansel Puthenparambil, Kevin Zhu, Lyn Mansfield, Matthew Lee, Taejun Park, Trinity Truong</t>
  </si>
  <si>
    <t>D14</t>
  </si>
  <si>
    <t>Kyle Nero</t>
  </si>
  <si>
    <t>Elvin Chen, Jocelyn Miao, Munachimso Ndubisi, Rocio Saez Aguirre, Summer Garvais</t>
  </si>
  <si>
    <t>D16</t>
  </si>
  <si>
    <t>Song Su</t>
  </si>
  <si>
    <t>D43</t>
  </si>
  <si>
    <t>sosu@ucsd.edu</t>
  </si>
  <si>
    <t>A18030348</t>
  </si>
  <si>
    <t>A18127466</t>
  </si>
  <si>
    <t>Aarav Agrawal, Adrian Kong, Chidiebere Agunanne, Owen McFadden, Siddhartha Sarvepally, Ty Albao, Zach Cochran, Dylan Cheng</t>
  </si>
  <si>
    <t>A18386039</t>
  </si>
  <si>
    <t>A18116163</t>
  </si>
  <si>
    <t>kyflores@ucsd.edu</t>
  </si>
  <si>
    <t>A17736930</t>
  </si>
  <si>
    <t>A17849396</t>
  </si>
  <si>
    <t>A17810860</t>
  </si>
  <si>
    <t>Kyle Flores</t>
  </si>
  <si>
    <t>A16803192</t>
  </si>
  <si>
    <t>A18529982</t>
  </si>
  <si>
    <t>A17944500</t>
  </si>
  <si>
    <t>https://drive.google.com/file/d/1zwS5u-TJN50QF47woEu45rtxNHNUDwET/view?usp=drivesdk</t>
  </si>
  <si>
    <t>A17949683</t>
  </si>
  <si>
    <t>A17802231</t>
  </si>
  <si>
    <t>Claire Wang, Jonathan Yepez, Junran Yang, Nicholas Chan, Ruofei Mao, Sahana Rangan, Terran Chow</t>
  </si>
  <si>
    <t>A18247795</t>
  </si>
  <si>
    <t>D17</t>
  </si>
  <si>
    <t>Bryan Zhang, Cheng-I Lin, Claire Tu, Colin Tran, Haoshuo Bi, Jacob Doan, Jeremy Cho, Yi-Hsuan Kuo, Po-Chen Lin</t>
  </si>
  <si>
    <t>Mikio Aoi</t>
  </si>
  <si>
    <t>A17900594</t>
  </si>
  <si>
    <t>Nathan Hui</t>
  </si>
  <si>
    <t>Abdulrahim Ham, Borngreat Omoma-Edosa, Grace Chen, Jared Wang, Krish Desai, Sana Gupta, Tori Nguyen, Ziyan Liu</t>
  </si>
  <si>
    <t>D19</t>
  </si>
  <si>
    <t>A17869683</t>
  </si>
  <si>
    <t>A17830583</t>
  </si>
  <si>
    <t>A18115996</t>
  </si>
  <si>
    <t>Bryan Zhang</t>
  </si>
  <si>
    <t>A17918188</t>
  </si>
  <si>
    <t>brzhang@ucsd.edu</t>
  </si>
  <si>
    <t>A18113345</t>
  </si>
  <si>
    <t>A17906305</t>
  </si>
  <si>
    <t>Acelynn Qiao, Leonard Malott, Minyoung Kim, Sahar Zahir, Viela Lansangan, Yadushan Thillainathan</t>
  </si>
  <si>
    <t>D20</t>
  </si>
  <si>
    <t>Rayan Saab</t>
  </si>
  <si>
    <t>A18112714</t>
  </si>
  <si>
    <t>A18565063</t>
  </si>
  <si>
    <t>Esther Chung, Jason Liu, Karthik Sankaran, Michelle Hong, Samson Wan</t>
  </si>
  <si>
    <t>A18112703</t>
  </si>
  <si>
    <t>A17842934</t>
  </si>
  <si>
    <t>A17847114</t>
  </si>
  <si>
    <t>valau@ucsd.edu</t>
  </si>
  <si>
    <t>A17827322</t>
  </si>
  <si>
    <t>Vanessa Lau</t>
  </si>
  <si>
    <t>Abhi Sathvika Goriparthy, Alex Frederick, Atherv Vidhate, Gavin Wu, Genevieve Selsor, Jeremy Cheng, Jonathan Yim, Kimi Chen, Pranav Rajaram, Preethi Manne, Terry Su, Tony Bai, Vincent Cho, Xiao Cheng, Yidong Shi, Zubin Sannakkayala</t>
  </si>
  <si>
    <t>D22</t>
  </si>
  <si>
    <t>Marcelo Arcos</t>
  </si>
  <si>
    <t>marcos@ucsd.edu</t>
  </si>
  <si>
    <t>https://drive.google.com/file/d/1lq3IDAg13eknDvP9t9asJQljJQw-3j-w/view?usp=sharing</t>
  </si>
  <si>
    <t>Rob Knight</t>
  </si>
  <si>
    <t>Ishaan Gosain, Ivan Chen, Jiya Makhija, Sophia Vo</t>
  </si>
  <si>
    <t>D24</t>
  </si>
  <si>
    <t>Tauhidur Rahaman</t>
  </si>
  <si>
    <t>A18251274</t>
  </si>
  <si>
    <t>Tiffany Amariuta</t>
  </si>
  <si>
    <t>A17864314</t>
  </si>
  <si>
    <t>A18111889</t>
  </si>
  <si>
    <t>A18524674</t>
  </si>
  <si>
    <t>Timothy Harmon</t>
  </si>
  <si>
    <t>t2harmon@ucsd.edu</t>
  </si>
  <si>
    <t>Akshay Uppal, Edwards Tong, Kangxin Peng, Yonghao Wang, Jingwen Gu</t>
  </si>
  <si>
    <t>D26</t>
  </si>
  <si>
    <t>Victor Minces</t>
  </si>
  <si>
    <t>A17880443</t>
  </si>
  <si>
    <t>A17794419</t>
  </si>
  <si>
    <t>A18552753</t>
  </si>
  <si>
    <t>Amrutha Potluri, Dylan Craver, Dylan Dsouza, Julia Dial, Keith Gong, Pratham Aggarwal, Ritvik Chand, Zhuang Mingrui</t>
  </si>
  <si>
    <t>A17991929</t>
  </si>
  <si>
    <t>A18237194</t>
  </si>
  <si>
    <t>A19190519</t>
  </si>
  <si>
    <t>Alex Warstadt</t>
  </si>
  <si>
    <t>A18274026</t>
  </si>
  <si>
    <t>A17847578</t>
  </si>
  <si>
    <t>A17860402</t>
  </si>
  <si>
    <t>A17772507</t>
  </si>
  <si>
    <t>A18111272</t>
  </si>
  <si>
    <t>A17813712</t>
  </si>
  <si>
    <t>A17728266</t>
  </si>
  <si>
    <t>A17784010</t>
  </si>
  <si>
    <t>A17947443</t>
  </si>
  <si>
    <t>A17807608</t>
  </si>
  <si>
    <t>Krish Desai</t>
  </si>
  <si>
    <t>ksdesai@ucsd.edu</t>
  </si>
  <si>
    <t>Armin Schwartzman</t>
  </si>
  <si>
    <t>A18121534</t>
  </si>
  <si>
    <t>A17906173</t>
  </si>
  <si>
    <t>Amjad Faiz Bin Muhamad Afandy, Flavia Gabriella Tedjarutjianta, Gabriel Tedja, Hasaam Butt, Janie Chan, Mohak Prakash, Prabhjas Singh, Qi Zhang, Shunyi Du, Sonali Singh</t>
  </si>
  <si>
    <t>A17800006</t>
  </si>
  <si>
    <t>A17781241</t>
  </si>
  <si>
    <t>A18423915</t>
  </si>
  <si>
    <t>A18555408</t>
  </si>
  <si>
    <t>A17799160</t>
  </si>
  <si>
    <t>sirao@ucsd.edu</t>
  </si>
  <si>
    <t>A17829997</t>
  </si>
  <si>
    <t>A18520437</t>
  </si>
  <si>
    <t>Simone Rao</t>
  </si>
  <si>
    <t>A17994070</t>
  </si>
  <si>
    <t>https://drive.google.com/file/d/1RQoLoxeF9bAs5oAVPDSqpd4OrQ8mtB4G/view?usp=sharing</t>
  </si>
  <si>
    <t>Aarushi Jain, Brian Jing, Chinmay Bharambe, Daniel Budidharma, Henry Liu, Katie Moc, Raghav Dewangan, Royce Nguyen, Ryan Tang, Shawn Cheng, Turki Alrasheed, Viki Shi</t>
  </si>
  <si>
    <t>D29</t>
  </si>
  <si>
    <t>A18575891</t>
  </si>
  <si>
    <t>A17911498</t>
  </si>
  <si>
    <t>A17710282</t>
  </si>
  <si>
    <t>Amelia Wong, Arushi Patra, Mythri Kishore, Nayana Naineni, Sumedha Rai, Vanshika Somani</t>
  </si>
  <si>
    <t>A18509617</t>
  </si>
  <si>
    <t>Dmitriy Drusvyatskiy</t>
  </si>
  <si>
    <t>Alexander Kuo, Daniel Phan, Edison Ayran, Fiona Zou, Jiahe Qin, Praveen Sharma, Terence Zhang, Wanchen Yang</t>
  </si>
  <si>
    <t>Dusan Bosnjakovic</t>
  </si>
  <si>
    <t>A18552804</t>
  </si>
  <si>
    <t>A17855615</t>
  </si>
  <si>
    <t>Marvell Suhali</t>
  </si>
  <si>
    <t>A17785865</t>
  </si>
  <si>
    <t>msuhali@ucsd.edu</t>
  </si>
  <si>
    <t>A17858150</t>
  </si>
  <si>
    <t>Andrew Chen, Saisohan Shingade, Surya Setty, Uday Lingampalli</t>
  </si>
  <si>
    <t>D32</t>
  </si>
  <si>
    <t>Aathi Muthu, Anand Baidya, Andrew Youn, Brian Can, Haowen Zhang, Jaden Vo, Nimisha Mishra, Po-Hua Chen, Shiv Mehta, Vedant Vardhaan, Vishudh Shah, Zhixiang Zhang, Evelyn Zhang</t>
  </si>
  <si>
    <t>D33</t>
  </si>
  <si>
    <t>Divyansh Kanodia, Kavyan Patel, Kevin Zhang, Ved Panse, Noah Golder, Michael Luo, Ananya Wasker, Vipra Bindal</t>
  </si>
  <si>
    <t>D34</t>
  </si>
  <si>
    <t>Jingbo Shang</t>
  </si>
  <si>
    <t>A18113535</t>
  </si>
  <si>
    <t>A18506253</t>
  </si>
  <si>
    <t>A18521431</t>
  </si>
  <si>
    <t>A17921209</t>
  </si>
  <si>
    <t>A17837620</t>
  </si>
  <si>
    <t>Lily Weng</t>
  </si>
  <si>
    <t>Claire Tu</t>
  </si>
  <si>
    <t>c7tu@ucsd.edu</t>
  </si>
  <si>
    <t>Misha Belkin</t>
  </si>
  <si>
    <t>cll016@ucsd.edu</t>
  </si>
  <si>
    <t>D35</t>
  </si>
  <si>
    <t>A17815340</t>
  </si>
  <si>
    <t>Ryan Lingo</t>
  </si>
  <si>
    <t>Claire Lee</t>
  </si>
  <si>
    <t>A17903894</t>
  </si>
  <si>
    <t>https://drive.google.com/file/d/15zSKD9c38UGueY1pKI00lD8uOl6nB5PR/view?usp=sharing</t>
  </si>
  <si>
    <t>A17884008</t>
  </si>
  <si>
    <t>A17960283</t>
  </si>
  <si>
    <t>A18562193</t>
  </si>
  <si>
    <t>A18606977</t>
  </si>
  <si>
    <t>A18548215</t>
  </si>
  <si>
    <t>A17836503</t>
  </si>
  <si>
    <t>A19172216</t>
  </si>
  <si>
    <t>A17704905</t>
  </si>
  <si>
    <t>Stuart Geiger</t>
  </si>
  <si>
    <t>Leo Wiemelt, Lucien Hsiao, Neil Dewan, Zihan Zhang</t>
  </si>
  <si>
    <t>Rose Park</t>
  </si>
  <si>
    <t>sep032@ucsd.edu</t>
  </si>
  <si>
    <t>D41</t>
  </si>
  <si>
    <t>Casey So, Mehul Verma, Rakshan Patnaik, Tejas Mani</t>
  </si>
  <si>
    <t>Tianhao Wang</t>
  </si>
  <si>
    <t>A18235912</t>
  </si>
  <si>
    <t>A17920946</t>
  </si>
  <si>
    <t>A17919813</t>
  </si>
  <si>
    <t>A18536011</t>
  </si>
  <si>
    <t>A17874686</t>
  </si>
  <si>
    <t>A17848067</t>
  </si>
  <si>
    <t>A17715152</t>
  </si>
  <si>
    <t>A17713463</t>
  </si>
  <si>
    <t>A17816744</t>
  </si>
  <si>
    <t>Deepal Deleena, Jacob Kavanal, Lakshmi Manasa Maddi, Mianzhi Hu, Vaidehi Karve, Victor Chen</t>
  </si>
  <si>
    <t>D38</t>
  </si>
  <si>
    <t>A18357580</t>
  </si>
  <si>
    <t>Yoav Freund</t>
  </si>
  <si>
    <t>Alan Xia, Alexander Takamoto, Brian Liu, Edward Zhang, Issac Roy, Maggie Zhang, Philip Chen, Yash Tandon, Chentao Gong, Anirudh Annabathula</t>
  </si>
  <si>
    <t>A18585872</t>
  </si>
  <si>
    <t>D39</t>
  </si>
  <si>
    <t>A18219465</t>
  </si>
  <si>
    <t>A18282418</t>
  </si>
  <si>
    <t>Abhinav Chinnam, Ganesh Kumarappan, Jayden Li, Kenji Gunawan, Nuraiym Mirbekova, Raffi Dulgerian, Rishvik Ravi, Aditya Kakarla</t>
  </si>
  <si>
    <t>Dariy Marshaev</t>
  </si>
  <si>
    <t>D40</t>
  </si>
  <si>
    <t>dmarshaev@ucsd.edu</t>
  </si>
  <si>
    <t>Yusu Wang</t>
  </si>
  <si>
    <t>Yaqub Mir, Willem De Haan, Gabriel Borjas-Perez, Jenny Xu</t>
  </si>
  <si>
    <t>ala023@ucsd.edu</t>
  </si>
  <si>
    <t>A18523333</t>
  </si>
  <si>
    <t>Ali Ahmed</t>
  </si>
  <si>
    <t>Babak Salimi</t>
  </si>
  <si>
    <t>https://drive.google.com/file/d/1NiJ46msTHKec6EqQScYrWfu_-NPvo_mn/view?usp=sharing</t>
  </si>
  <si>
    <t>Edmond Yang, Karina Zambani, Kyle Duong, Nithya Nair, Rose Park, Salina Tang, Waleed Alshakhshir, William Chou</t>
  </si>
  <si>
    <t>A17922611</t>
  </si>
  <si>
    <t>A18598144</t>
  </si>
  <si>
    <t>A17771842</t>
  </si>
  <si>
    <t>A17798100</t>
  </si>
  <si>
    <t>Adit Gautam, Alyxandrea Wikarsa, Andrew Kim, Calvin Truong, Cedric Jeng, Christian Kumagai, Faline Le, Kai Arizabal, Moniriddh Bunyay, Shant Guedekelian</t>
  </si>
  <si>
    <t>A18639524</t>
  </si>
  <si>
    <t>Hao Zhang</t>
  </si>
  <si>
    <t>Amy Zhao, Eric Gan, Nicolas Toon, Ricki Chen</t>
  </si>
  <si>
    <t>D44</t>
  </si>
  <si>
    <t>Rajesh Gupta</t>
  </si>
  <si>
    <t>Ansh Bhatnagar, Chang-Yu Lee, Jayden Huang, Jeronimo Adames-Baena, Mihir Vad, Shujia Chen, Sunny Sun, Varick Hasim</t>
  </si>
  <si>
    <t>Rishvik Ravi</t>
  </si>
  <si>
    <t>D45</t>
  </si>
  <si>
    <t>r4ravi@ucsd.edu</t>
  </si>
  <si>
    <t>Renu Raman</t>
  </si>
  <si>
    <t>A17843999</t>
  </si>
  <si>
    <t>A17966871</t>
  </si>
  <si>
    <t>A17735225</t>
  </si>
  <si>
    <t>A17747801</t>
  </si>
  <si>
    <t>A17848688</t>
  </si>
  <si>
    <t>A18279028</t>
  </si>
  <si>
    <t>jrinconrodriguez@ucsd.edu</t>
  </si>
  <si>
    <t>A17889532</t>
  </si>
  <si>
    <t>Janice Rincon</t>
  </si>
  <si>
    <t>https://drive.google.com/drive/folders/1WU_mF82LYenfFu51R6pe_eTsrNI2Cxjq?usp=drive_link</t>
  </si>
  <si>
    <t>Vipra Bindal</t>
  </si>
  <si>
    <t>vbindal@ucsd.edu</t>
  </si>
  <si>
    <t>Zhijian Liu</t>
  </si>
  <si>
    <t>A17855312</t>
  </si>
  <si>
    <t>A18510359</t>
  </si>
  <si>
    <t>A18114180</t>
  </si>
  <si>
    <t>A18110131</t>
  </si>
  <si>
    <t>A17948928</t>
  </si>
  <si>
    <t>A17957434</t>
  </si>
  <si>
    <t>A18231714</t>
  </si>
  <si>
    <t>A17976167</t>
  </si>
  <si>
    <t>Arya Mazumdar</t>
  </si>
  <si>
    <t>Jun-kun Wang</t>
  </si>
  <si>
    <t>Antony Munkhchuluun</t>
  </si>
  <si>
    <t>emunkhchuluun@ucsd.edu</t>
  </si>
  <si>
    <t xml:space="preserve">A17785797 </t>
  </si>
  <si>
    <t>Peter Chi</t>
  </si>
  <si>
    <t>sranadive@ucsd.edu</t>
  </si>
  <si>
    <t>Saanvi Ranadive</t>
  </si>
  <si>
    <t>https://drive.google.com/file/d/1saTF-GzQ9Jcsilj_v_8SyLpTx3wsROMH/view?usp=sharing</t>
  </si>
  <si>
    <t>Bijian Arbab</t>
  </si>
  <si>
    <t>A17790946</t>
  </si>
  <si>
    <t>A17458837</t>
  </si>
  <si>
    <t>A19107573</t>
  </si>
  <si>
    <t>A17748113</t>
  </si>
  <si>
    <t>A18118085</t>
  </si>
  <si>
    <t>A18198148</t>
  </si>
  <si>
    <t>Praveen Sharma</t>
  </si>
  <si>
    <t>p4sharma@ucsd.edu</t>
  </si>
  <si>
    <t>Reem Khojah</t>
  </si>
  <si>
    <t>Robert Wilderman</t>
  </si>
  <si>
    <t>wayang@ucsd.edu</t>
  </si>
  <si>
    <t>A18500359</t>
  </si>
  <si>
    <t>Wanchen Yang</t>
  </si>
  <si>
    <t>Soohyun Liao</t>
  </si>
  <si>
    <t>Divyansh Kanodia</t>
  </si>
  <si>
    <t>dkanodia@ucsd.edu</t>
  </si>
  <si>
    <t>ertong@ucsd.edu</t>
  </si>
  <si>
    <t>A17769869</t>
  </si>
  <si>
    <t>Erika Tong</t>
  </si>
  <si>
    <t>https://docs.google.com/document/d/1s0FTBgGXQn8bXy7MP_7EAsIdBC3yPBbFNKNfJhWd3Ng/edit?usp=sharing</t>
  </si>
  <si>
    <t>Yash Tandon</t>
  </si>
  <si>
    <t>ytandon@ucsd.edu</t>
  </si>
  <si>
    <t>edayran@ucsd.edu</t>
  </si>
  <si>
    <t>A17846462</t>
  </si>
  <si>
    <t>Edison Ayran</t>
  </si>
  <si>
    <t>A18110768</t>
  </si>
  <si>
    <t>https://docs.google.com/document/d/1ShMuDMpQQQRo6ddQe3t_RIuy9CbUqH95jZtIH4M5yr0/edit?usp=drivesdk</t>
  </si>
  <si>
    <t>Amy Zhao</t>
  </si>
  <si>
    <t>amz004@ucsd.edu</t>
  </si>
  <si>
    <t>Saisohan Shingade</t>
  </si>
  <si>
    <t>sshingade@ucsd.edu</t>
  </si>
  <si>
    <t>dsehgal@ucsd.edu</t>
  </si>
  <si>
    <t>A17853941</t>
  </si>
  <si>
    <t>Dhruv Sehgal</t>
  </si>
  <si>
    <t>https://www.overleaf.com/read/wkmsvmqtyszp#0baec9</t>
  </si>
  <si>
    <t>Ryan Tjenalooi</t>
  </si>
  <si>
    <t>rtjenalooi@ucsd.edu</t>
  </si>
  <si>
    <t>WILL NOT ENROLL</t>
  </si>
  <si>
    <t>amuthu@ucsd.edu</t>
  </si>
  <si>
    <t>A17813042</t>
  </si>
  <si>
    <t>Aathi Muthu</t>
  </si>
  <si>
    <t>https://drive.google.com/file/d/18ntvq1A4dvOryNTbQRZQPtIEO4S2BYR0/view?usp=sharing</t>
  </si>
  <si>
    <t>Mianzhi Hu</t>
  </si>
  <si>
    <t>mih037@ucsd.edu</t>
  </si>
  <si>
    <t>A18584973</t>
  </si>
  <si>
    <t>Moniriddh Bunyay</t>
  </si>
  <si>
    <t>mbunyay@ucsd.edu</t>
  </si>
  <si>
    <t>surai@ucsd.edu</t>
  </si>
  <si>
    <t>A19160671</t>
  </si>
  <si>
    <t>Sumedha Rai</t>
  </si>
  <si>
    <t>https://drive.google.com/file/d/1I8GESX7tQgVmJtVE0Un8d9FahcCbig-Z/view?usp=sharing</t>
  </si>
  <si>
    <t>Nuraiym Mirbekova</t>
  </si>
  <si>
    <t>nmirbekova@ucsd.edu</t>
  </si>
  <si>
    <t>A17814224</t>
  </si>
  <si>
    <t>Vishudh Shah</t>
  </si>
  <si>
    <t>v8shah@ucsd.edu</t>
  </si>
  <si>
    <t>Henry Liu</t>
  </si>
  <si>
    <t>hel044@ucsd.edu</t>
  </si>
  <si>
    <t>mndubisi@ucsd.edu</t>
  </si>
  <si>
    <t>A17852643</t>
  </si>
  <si>
    <t>Munachimso Ndubisi</t>
  </si>
  <si>
    <t>https://drive.google.com/file/d/1ONbVQ9s53VMu6B9eQBBxmuHICo4jeklw/view?usp=sharing</t>
  </si>
  <si>
    <t>Steven Ouyang</t>
  </si>
  <si>
    <t>houyang@ucsd.edu</t>
  </si>
  <si>
    <t>vpaidi@ucsd.edu</t>
  </si>
  <si>
    <t>A17924639</t>
  </si>
  <si>
    <t>A17998422</t>
  </si>
  <si>
    <t>Vishal Rana Paidi</t>
  </si>
  <si>
    <t>https://docs.google.com/document/d/1LlHZDTTSHoS6xql-Uml8OBqczZaCp0-MbVh6vm-9pFM/edit?usp=drivesdk</t>
  </si>
  <si>
    <t>Kenji Gunawan</t>
  </si>
  <si>
    <t>kegunawan@ucsd.edu</t>
  </si>
  <si>
    <t>Vanessa Feng</t>
  </si>
  <si>
    <t>l6feng@ucsd.edu</t>
  </si>
  <si>
    <t>cclougherty@ucsd.edu</t>
  </si>
  <si>
    <t>Coleman Clougherty</t>
  </si>
  <si>
    <t>https://drive.google.com/file/d/1L5D0Tq3aacpcCUKAEMTMwh8bzo7mAZbD/view?usp=sharing</t>
  </si>
  <si>
    <t>A18131111</t>
  </si>
  <si>
    <t>Evelyn Zhang</t>
  </si>
  <si>
    <t>yuz271@ucsd.edu</t>
  </si>
  <si>
    <t>A18519207</t>
  </si>
  <si>
    <t>Jacob Kavanal</t>
  </si>
  <si>
    <t>jkavanal@ucsd.edu</t>
  </si>
  <si>
    <t>imansfield@ucsd.edu</t>
  </si>
  <si>
    <t>Lyn Mansfield</t>
  </si>
  <si>
    <t>https://docs.google.com/document/d/10tchVqFkX4eQRxi-f5HMsTNAq1v7GqZdooKZUaxkOXA/edit?usp=sharing</t>
  </si>
  <si>
    <t>Michael Petersen</t>
  </si>
  <si>
    <t>m1petersen@ucsd.edu</t>
  </si>
  <si>
    <t>A17407878</t>
  </si>
  <si>
    <t>ratienza@ucsd.edu</t>
  </si>
  <si>
    <t>A17902620</t>
  </si>
  <si>
    <t>Ryan Conrad Atienza</t>
  </si>
  <si>
    <t>https://popokeyry.github.io/portfolio/resume/</t>
  </si>
  <si>
    <t>Uzair Gheewala</t>
  </si>
  <si>
    <t>ugheewala@ucsd.edu</t>
  </si>
  <si>
    <t>A17432350</t>
  </si>
  <si>
    <t>Vanshika Somani</t>
  </si>
  <si>
    <t>vsomani@ucsd.edu</t>
  </si>
  <si>
    <t>https://drive.google.com/file/d/1YcMh_eS0fUbQIJ0BMmR8NTgHYixYPJKa/view?usp=sharing</t>
  </si>
  <si>
    <t>Faline Le</t>
  </si>
  <si>
    <t>fnle@ucsd.edu</t>
  </si>
  <si>
    <t>bscruz@ucsd.edu</t>
  </si>
  <si>
    <t>A18578660</t>
  </si>
  <si>
    <t>Bryan Cruz</t>
  </si>
  <si>
    <t>https://docs.google.com/document/d/13X1KsziWs9D5AuZ48KEqMhYFV5JZ46bZ0-yydnjGSsQ/edit?usp=share_link</t>
  </si>
  <si>
    <t>A17500501</t>
  </si>
  <si>
    <t>Ahmad Ageel</t>
  </si>
  <si>
    <t>aageel@ucsd.edu</t>
  </si>
  <si>
    <t>A17531851</t>
  </si>
  <si>
    <t>alw054@ucsd.edu</t>
  </si>
  <si>
    <t>Alisha Wang</t>
  </si>
  <si>
    <t>https://drive.google.com/file/d/11b_Py6OiqQB0BJZGNwuBdN-2p-dqt5Kr/view?usp=sharing</t>
  </si>
  <si>
    <t>Abdulrahim Ham</t>
  </si>
  <si>
    <t>amham@ucsd.edu</t>
  </si>
  <si>
    <t>vil018@ucsd.edu</t>
  </si>
  <si>
    <t>A17719081</t>
  </si>
  <si>
    <t>Vivian Lin</t>
  </si>
  <si>
    <t>https://drive.google.com/file/d/1dKw4rOmVGj4jXhbVgmpucRu3-EOf7mWy/view?usp=sharing</t>
  </si>
  <si>
    <t>Viki Shi</t>
  </si>
  <si>
    <t>vishi@ucsd.edu</t>
  </si>
  <si>
    <t>A17710940</t>
  </si>
  <si>
    <t>Mohak Prakash</t>
  </si>
  <si>
    <t>mprakash@ucsd.edu</t>
  </si>
  <si>
    <t>Ketan Mittal</t>
  </si>
  <si>
    <t>k1mittal@ucsd.edu</t>
  </si>
  <si>
    <t>mavaught@ucsd.edu</t>
  </si>
  <si>
    <t>Matthew Vaught</t>
  </si>
  <si>
    <t>https://drive.google.com/file/d/1ut421xnPtIvwaeuleLnsGbUT-JWJllqU/view?usp=sharing</t>
  </si>
  <si>
    <t>Ved Panse</t>
  </si>
  <si>
    <t>vpanse@ucsd.edu</t>
  </si>
  <si>
    <t>bvanhorn@ucsd.edu</t>
  </si>
  <si>
    <t>Brandon Van Horn</t>
  </si>
  <si>
    <t>https://drive.google.com/file/d/10WxTwUnnqZvct8veh3aSlAbwXnj-hVeW/view?usp=sharing</t>
  </si>
  <si>
    <t>mpudukottaikrishnara@ucsd.edu</t>
  </si>
  <si>
    <t>A18266463</t>
  </si>
  <si>
    <t>Madhav Pudukottai Krishnaraj</t>
  </si>
  <si>
    <t>https://drive.google.com/file/d/1YGTFSKAd4AJT0nfmu0tLvs6NGV3gu5x9/view?usp=sharing</t>
  </si>
  <si>
    <t>Kate Feng</t>
  </si>
  <si>
    <t>k2feng@ucsd.edu</t>
  </si>
  <si>
    <t>vsahjwani@ucsd.edu</t>
  </si>
  <si>
    <t>Vani Sahjwani</t>
  </si>
  <si>
    <t>https://drive.google.com/file/d/1puwnAM_58vKb6NZtUXO4_CvbSbExs9VU/view?usp=sharing</t>
  </si>
  <si>
    <t>A17726378</t>
  </si>
  <si>
    <t>Zachary Loo</t>
  </si>
  <si>
    <t>zloo@ucsd.edu</t>
  </si>
  <si>
    <t>A17727121</t>
  </si>
  <si>
    <t>Jordi Pham</t>
  </si>
  <si>
    <t>jop037@ucsd.edu</t>
  </si>
  <si>
    <t>kyzhao@ucsd.edu</t>
  </si>
  <si>
    <t>Kyle Zhao</t>
  </si>
  <si>
    <t>https://drive.google.com/file/d/1QLFaezyIfe7B9rLdJWvKixn54HKjq-M7/view?usp=sharing</t>
  </si>
  <si>
    <t>Samson Wan</t>
  </si>
  <si>
    <t>r1wan@ucsd.edu</t>
  </si>
  <si>
    <t>A17731385</t>
  </si>
  <si>
    <t>tap008@ucsd.edu</t>
  </si>
  <si>
    <t>A18345479</t>
  </si>
  <si>
    <t>Taejun Park</t>
  </si>
  <si>
    <t>Shiv Mehta</t>
  </si>
  <si>
    <t>shm010@ucsd.edu</t>
  </si>
  <si>
    <t>https://drive.google.com/file/d/1uPPxRcJwJ1dkPRRS-HmSzbJu1QbhFsRo/view?usp=sharing</t>
  </si>
  <si>
    <t>Lakshmi Manasa Maddi</t>
  </si>
  <si>
    <t>lmaddi@ucsd.edu</t>
  </si>
  <si>
    <t>mjviray@ucsd.edu</t>
  </si>
  <si>
    <t>Matthew Justine Viray</t>
  </si>
  <si>
    <t>https://drive.google.com/file/d/1gBjkrqkGCxtq7dXULSf3nUU1lZ6F_XGV/view?usp=drive_link</t>
  </si>
  <si>
    <t>Ishaan Tibdewal</t>
  </si>
  <si>
    <t>itibdewal@ucsd.edu</t>
  </si>
  <si>
    <t>A17745565</t>
  </si>
  <si>
    <t>Jeremy Cho</t>
  </si>
  <si>
    <t>jec056@ucsd.edu</t>
  </si>
  <si>
    <t>stey@ucsd.edu</t>
  </si>
  <si>
    <t>Sharon Tey</t>
  </si>
  <si>
    <t>https://docs.google.com/document/d/1k24uXGLmV4uhrT1QkVirIt3kmlx5FcFwgg1R_6KuIiA/edit?usp=sharing</t>
  </si>
  <si>
    <t>Vaidehi Karve</t>
  </si>
  <si>
    <t>vkarve@ucsd.edu</t>
  </si>
  <si>
    <t>anellis@ucsd.edu</t>
  </si>
  <si>
    <t>Annaly Ellis</t>
  </si>
  <si>
    <t>https://drive.google.com/file/d/1Y5A4OFBKCxFlLPyo0ruloo-LGRSTx6Em/view?usp=sharing</t>
  </si>
  <si>
    <t>Cedric Jeng</t>
  </si>
  <si>
    <t>cejeng@ucsd.edu</t>
  </si>
  <si>
    <t>A17751496</t>
  </si>
  <si>
    <t>Mieko Chun</t>
  </si>
  <si>
    <t>m1chun@ucsd.edu</t>
  </si>
  <si>
    <t>manissen@ucsd.edu</t>
  </si>
  <si>
    <t>A17961729</t>
  </si>
  <si>
    <t>Margot Nissen</t>
  </si>
  <si>
    <t>https://docs.google.com/document/d/1W9v64R68TtvkJfMuidwXZrzokJpL7X4Wotn5Y1tDkJI/edit?usp=sharing</t>
  </si>
  <si>
    <t>A17752898</t>
  </si>
  <si>
    <t>Vedant Vardhaan</t>
  </si>
  <si>
    <t>vvardhaan@ucsd.edu</t>
  </si>
  <si>
    <t>Cheng-I Lin</t>
  </si>
  <si>
    <t>chl236@ucsd.edu</t>
  </si>
  <si>
    <t>japarra@ucsd.edu</t>
  </si>
  <si>
    <t>A17939771</t>
  </si>
  <si>
    <t>Jared Parra</t>
  </si>
  <si>
    <t>https://docs.google.com/document/d/e/2PACX-1vSMNhW1qSDbxh_4CXTtjR40Z9fMcRjp6qk97OcjX6bbuio0XqG-c87IdychjfGeB1vCLaB8CSxlUO0Z/pub</t>
  </si>
  <si>
    <t>Metric</t>
  </si>
  <si>
    <t>Value</t>
  </si>
  <si>
    <t>A17760389</t>
  </si>
  <si>
    <t>Choice</t>
  </si>
  <si>
    <t>https://drive.google.com/file/d/1GA8EDhBNr6SSygTDg9k4IjukUyiXfViD/view?usp=sharing</t>
  </si>
  <si>
    <t>Jayden Huang</t>
  </si>
  <si>
    <t>jah059@ucsd.edu</t>
  </si>
  <si>
    <t>Domains</t>
  </si>
  <si>
    <t>A17762050</t>
  </si>
  <si>
    <t>Total seats</t>
  </si>
  <si>
    <t>Waleed Alshakhshir</t>
  </si>
  <si>
    <t>walshakhshir@ucsd.edu</t>
  </si>
  <si>
    <t>Matched</t>
  </si>
  <si>
    <t>nnaineni@ucsd.edu</t>
  </si>
  <si>
    <t>A17929841</t>
  </si>
  <si>
    <t>Nayana Naineni</t>
  </si>
  <si>
    <t>https://drive.google.com/file/d/1ZQQ0SN9fA5dxypHFi-sT-nEP8AolZNNX/view</t>
  </si>
  <si>
    <t>Unmatched</t>
  </si>
  <si>
    <t>A17784858</t>
  </si>
  <si>
    <t>Hasaam Butt</t>
  </si>
  <si>
    <t>hbutt@ucsd.edu</t>
  </si>
  <si>
    <t>A17762613</t>
  </si>
  <si>
    <t>Fallback placements</t>
  </si>
  <si>
    <t>A17809290</t>
  </si>
  <si>
    <t>Shunyi Du</t>
  </si>
  <si>
    <t>shunyidu@gmail.com</t>
  </si>
  <si>
    <t>Blocking pairs</t>
  </si>
  <si>
    <t>Karina Zambani</t>
  </si>
  <si>
    <t>Capacity violations</t>
  </si>
  <si>
    <t>kzambani@ucsd.edu</t>
  </si>
  <si>
    <t>A17897553</t>
  </si>
  <si>
    <t>Jaden Vo</t>
  </si>
  <si>
    <t>j9vo@ucsd.edu</t>
  </si>
  <si>
    <t>Got 1st choice</t>
  </si>
  <si>
    <t>A17897956</t>
  </si>
  <si>
    <t>Dylan Vo</t>
  </si>
  <si>
    <t>dyvo@ucsd.edu</t>
  </si>
  <si>
    <t>Got a top-3 choice</t>
  </si>
  <si>
    <t>A17920037</t>
  </si>
  <si>
    <t>Flavia Gabriella Tedjarutjianta</t>
  </si>
  <si>
    <t>ftedjarutjianta@ucsd.edu</t>
  </si>
  <si>
    <t>fallback</t>
  </si>
  <si>
    <t>A18115979</t>
  </si>
  <si>
    <t>Brian Can</t>
  </si>
  <si>
    <t>brcan@ucsd.edu</t>
  </si>
  <si>
    <t>A18176347</t>
  </si>
  <si>
    <t>Nimisha Mishra</t>
  </si>
  <si>
    <t>A17763695</t>
  </si>
  <si>
    <t>n2mishra@ucsd.edu</t>
  </si>
  <si>
    <t>A18498019</t>
  </si>
  <si>
    <t>Andrew Youn</t>
  </si>
  <si>
    <t>asyoun@ucsd.edu</t>
  </si>
  <si>
    <t>A18503664</t>
  </si>
  <si>
    <t>Po-Hua Chen</t>
  </si>
  <si>
    <t>poc008@ucsd.edu</t>
  </si>
  <si>
    <t>A18506910</t>
  </si>
  <si>
    <t>Aditya Kakarla</t>
  </si>
  <si>
    <t>Anand Baidya</t>
  </si>
  <si>
    <t>akakarla@ucsd.edu</t>
  </si>
  <si>
    <t>abaidya@ucsd.edu</t>
  </si>
  <si>
    <t>https://docs.google.com/document/d/12tuUjLGHGbk5fgp1euc9pTWJyxcizdR-K48z4x8aVKk/edit?usp=sharing</t>
  </si>
  <si>
    <t>A18507432</t>
  </si>
  <si>
    <t>Khaleel Karim</t>
  </si>
  <si>
    <t>kkarim@ucsd.edu</t>
  </si>
  <si>
    <t>A18534525</t>
  </si>
  <si>
    <t>Junle Li</t>
  </si>
  <si>
    <t>jul187@ucsd.edu</t>
  </si>
  <si>
    <t>A18562616</t>
  </si>
  <si>
    <t>Janie Chan</t>
  </si>
  <si>
    <t>jlc006@ucsd.edu</t>
  </si>
  <si>
    <t>A18579846</t>
  </si>
  <si>
    <t>Prabhjas Singh</t>
  </si>
  <si>
    <t>prs018@ucsd.edu</t>
  </si>
  <si>
    <t>A17767096</t>
  </si>
  <si>
    <t>A18589762</t>
  </si>
  <si>
    <t>Sonali Singh</t>
  </si>
  <si>
    <t>sssingh@ucsd.edu</t>
  </si>
  <si>
    <t>Vincent Cho</t>
  </si>
  <si>
    <t>vicho@ucsd.edu</t>
  </si>
  <si>
    <t>knli@ucsd.edu</t>
  </si>
  <si>
    <t>Keilani Li</t>
  </si>
  <si>
    <t>https://drive.google.com/file/d/1BFjDOAbRadcYNthWDliyQijM9J4U-Yzf/view?usp=sharing</t>
  </si>
  <si>
    <t>haz099@ucsd.edu</t>
  </si>
  <si>
    <t>Haowen Zhang</t>
  </si>
  <si>
    <t>https://hz0410.github.io/portfolio/resume/</t>
  </si>
  <si>
    <t>Ritvik Chand</t>
  </si>
  <si>
    <t>rchand@ucsd.edu</t>
  </si>
  <si>
    <t>auchung@ucsd.edu</t>
  </si>
  <si>
    <t>Audrey Chung</t>
  </si>
  <si>
    <t>https://tinyurl.com/auchung</t>
  </si>
  <si>
    <t>Mythri Kishore</t>
  </si>
  <si>
    <t>mkishore@ucsd.edu</t>
  </si>
  <si>
    <t>kfl002@ucsd.edu</t>
  </si>
  <si>
    <t>Kang Lee</t>
  </si>
  <si>
    <t>https://www.overleaf.com/read/pcjxgwrgfprh#991e96</t>
  </si>
  <si>
    <t>A17777807</t>
  </si>
  <si>
    <t>Coltrane Gowan</t>
  </si>
  <si>
    <t>cgowan@ucsd.edu</t>
  </si>
  <si>
    <t>Jeremy Cheng</t>
  </si>
  <si>
    <t>jec061@ucsd.edu</t>
  </si>
  <si>
    <t>ssathaye@ucsd.edu</t>
  </si>
  <si>
    <t>Siya Sathaye</t>
  </si>
  <si>
    <t>https://docs.google.com/document/d/1q20uiycQ0L-e5krBVSGKB5hurpI_TUENn_oqChVpGUo/edit?usp=sharing</t>
  </si>
  <si>
    <t>Esther Chung</t>
  </si>
  <si>
    <t>esc005@ucsd.edu</t>
  </si>
  <si>
    <t>tleo@ucsd.edu</t>
  </si>
  <si>
    <t>Tristan Leo</t>
  </si>
  <si>
    <t>https://docs.google.com/document/d/1HwLXr04e3Bhk8BUpaUsI710_QQ_oMJuME82zFWJsQv4/edit?tab=t.0</t>
  </si>
  <si>
    <t>Jay Manjrekar</t>
  </si>
  <si>
    <t>jmanjrekar@ucsd.edu</t>
  </si>
  <si>
    <t>ameliawong2005@gmail.com</t>
  </si>
  <si>
    <t>A17972569</t>
  </si>
  <si>
    <t>Amelia Wong</t>
  </si>
  <si>
    <t>https://docs.google.com/document/d/1CZEWHzYkhQsRHwXwL4glwCd4tTDBEwqUjOg-sLDnmjo/edit?usp=drivesdk</t>
  </si>
  <si>
    <t>A17785797</t>
  </si>
  <si>
    <t>awikarsa@ucsd.edu</t>
  </si>
  <si>
    <t>Alyxandrea Wikarsa</t>
  </si>
  <si>
    <t>https://drive.google.com/file/d/1YCiPSYQOqMhv6jAzdFdaEuKI6tZu2te1/view?usp=share_link</t>
  </si>
  <si>
    <t>Chinmay Bharambe</t>
  </si>
  <si>
    <t>cbharambe@ucsd.edu</t>
  </si>
  <si>
    <t>jtc006@ucsd.edu</t>
  </si>
  <si>
    <t>Jennifer Chang</t>
  </si>
  <si>
    <t>https://drive.google.com/file/d/1-rJNdFXpeLbecJIBIQMAP8TIvo6jtMjr/view?usp=sharing</t>
  </si>
  <si>
    <t>Issac Roy</t>
  </si>
  <si>
    <t>iroy@ucsd.edu</t>
  </si>
  <si>
    <t>Kai Arizabal</t>
  </si>
  <si>
    <t>karizabal19@gmail.com</t>
  </si>
  <si>
    <t>https://drive.google.com/file/d/1pSouX6WO17xIEOWdpEEkB_sbsVu3vDYu/view?usp=sharing</t>
  </si>
  <si>
    <t>A17793749</t>
  </si>
  <si>
    <t>April Huang</t>
  </si>
  <si>
    <t>aphuang@ucsd.edu</t>
  </si>
  <si>
    <t>Viela Lansangan</t>
  </si>
  <si>
    <t>vlansangan@ucsd.edu</t>
  </si>
  <si>
    <t>https://drive.google.com/file/d/1Xs4Ry4cJxlgStbdC1thaSvdxeCMBrS2N/view?usp=drive_link</t>
  </si>
  <si>
    <t>Amrutha Potluri</t>
  </si>
  <si>
    <t>apotluri@ucsd.edu</t>
  </si>
  <si>
    <t>A17799139</t>
  </si>
  <si>
    <t xml:space="preserve">https://docs.google.com/document/d/1ODt9R_nM6_qo3HkJwN8sAqnldlxSv6D_6_Gn4MgY9CU/edit?usp=sharing </t>
  </si>
  <si>
    <t>Ethan Lam</t>
  </si>
  <si>
    <t>e7lam@ucsd.edu</t>
  </si>
  <si>
    <t>Pranav Rajaram</t>
  </si>
  <si>
    <t>prajaram@ucsd.edu</t>
  </si>
  <si>
    <t xml:space="preserve">https://drive.google.com/file/d/1uJFjsGsq7Ual8J0it1SBkC4rO04X1vBL/view?usp=sharing </t>
  </si>
  <si>
    <t>Zubin Sannakkayala</t>
  </si>
  <si>
    <t>zsannakkayala@ucsd.edu</t>
  </si>
  <si>
    <t>rylindberg@ucsd.edu</t>
  </si>
  <si>
    <t>Ryan Lindberg</t>
  </si>
  <si>
    <t>https://ryanlindberg.dev/</t>
  </si>
  <si>
    <t>Katie Hannigan</t>
  </si>
  <si>
    <t>khannigan@ucsd.edu</t>
  </si>
  <si>
    <t>A17802375</t>
  </si>
  <si>
    <t>Ruofei Mao</t>
  </si>
  <si>
    <t>rumao@ucsd.edu</t>
  </si>
  <si>
    <t>jscalderon@ucsd.edu</t>
  </si>
  <si>
    <t>Joseph Calderon</t>
  </si>
  <si>
    <t>https://jscalderon204.github.io/</t>
  </si>
  <si>
    <t>A17807523</t>
  </si>
  <si>
    <t>Christian Kumagai</t>
  </si>
  <si>
    <t>ckumagai@ucsd.edu</t>
  </si>
  <si>
    <t>sbhatnagar@ucsd.edu</t>
  </si>
  <si>
    <t xml:space="preserve">Sweekrit Bhatnagar </t>
  </si>
  <si>
    <t>https://drive.google.com/file/d/1fPS7M75j7eBwComcMBDnLO2CdbMvPsqM/view?usp=drivesdk</t>
  </si>
  <si>
    <t>Shawn Cheng</t>
  </si>
  <si>
    <t>shc068@ucsd.edu</t>
  </si>
  <si>
    <t>asnath@ucsd.edu</t>
  </si>
  <si>
    <t>Aryan Nath</t>
  </si>
  <si>
    <t>https://drive.google.com/file/d/174XekynJ-ZrHz3xdoC_aQ75vQkYvj8qA/view?usp=sharing</t>
  </si>
  <si>
    <t>Aiden Lai</t>
  </si>
  <si>
    <t>ailai@ucsd.edu</t>
  </si>
  <si>
    <t>First Name</t>
  </si>
  <si>
    <t>Last Name</t>
  </si>
  <si>
    <t>Students Allocated</t>
  </si>
  <si>
    <t>Ali</t>
  </si>
  <si>
    <t>Arsanjani</t>
  </si>
  <si>
    <t>arsanjani@google.com</t>
  </si>
  <si>
    <t>emyip@ucsd.edu</t>
  </si>
  <si>
    <t>Emily Yip</t>
  </si>
  <si>
    <t>https://drive.google.com/file/d/19jn6r4NXtMeaQ0hHE_BMWCgMKdJrxggo/view?usp=sharing</t>
  </si>
  <si>
    <t>Aobo</t>
  </si>
  <si>
    <t>Li</t>
  </si>
  <si>
    <t>aol002@ucsd.edu</t>
  </si>
  <si>
    <t>A17813323</t>
  </si>
  <si>
    <t>huyie@ucsd.edu</t>
  </si>
  <si>
    <t>Huiyu Yie</t>
  </si>
  <si>
    <t>https://drive.google.com/file/d/1KteIxoQkefwErT_a4bGaSgeV-hKX-CqZ/view?usp=drive_link</t>
  </si>
  <si>
    <t>Ben</t>
  </si>
  <si>
    <t>Smarr</t>
  </si>
  <si>
    <t>bsmarr@ucsd.edu</t>
  </si>
  <si>
    <t>Dylan Cheng</t>
  </si>
  <si>
    <t>dycheng@ucsd.edu</t>
  </si>
  <si>
    <t>zix021@ucsd.edu</t>
  </si>
  <si>
    <t>Zilig Xu</t>
  </si>
  <si>
    <t>https://drive.google.com/file/d/1sDgGGYeyT5zwgDzj1ePmdArK9_MrICVf/view?usp=drive_link</t>
  </si>
  <si>
    <t>Manny</t>
  </si>
  <si>
    <t>Ruidiaz</t>
  </si>
  <si>
    <t>manny.ruidiaz@murine.org</t>
  </si>
  <si>
    <t>Biwei</t>
  </si>
  <si>
    <t>Huang</t>
  </si>
  <si>
    <t>bih007@ucsd.edu</t>
  </si>
  <si>
    <t>A17813616</t>
  </si>
  <si>
    <t>https://docs.google.com/document/d/1CZJIZsuPFdzIa9Aa-qzwklgV_XmzVfIZ/edit?usp=sharing&amp;ouid=113236019755098933288&amp;rtpof=true&amp;sd=true</t>
  </si>
  <si>
    <t>Roman Respicio</t>
  </si>
  <si>
    <t>rrespicio@ucsd.edu</t>
  </si>
  <si>
    <t>Haojian</t>
  </si>
  <si>
    <t>Jin</t>
  </si>
  <si>
    <t>haojian@ucsd.edu</t>
  </si>
  <si>
    <t>https://docs.google.com/document/d/1OsHhWCA0VC16uGyS1wZjfn6bvzHa5yN5b0wMOo8Eh0A/edit?tab=t.y3s7iln4gpyh</t>
  </si>
  <si>
    <t>Michael</t>
  </si>
  <si>
    <t>Deisher</t>
  </si>
  <si>
    <t>michael.deisher@azimuth-ai.com</t>
  </si>
  <si>
    <t>Sylvia</t>
  </si>
  <si>
    <t>Downing</t>
  </si>
  <si>
    <t>sylvia.j.downing@azimuth-ai.com</t>
  </si>
  <si>
    <t>Abhi Sathvika Goriparthy</t>
  </si>
  <si>
    <t>agoriparthy@ucsd.edu</t>
  </si>
  <si>
    <t>https://drive.google.com/drive/folders/1L68-rtmzE-02ZVKiB_sH56QMmLlYt3b4?usp=sharing</t>
  </si>
  <si>
    <t>Duncan</t>
  </si>
  <si>
    <t>Watson-Parris</t>
  </si>
  <si>
    <t>dwatsonparris@ucsd.edu</t>
  </si>
  <si>
    <t>Emily</t>
  </si>
  <si>
    <t>Aiken</t>
  </si>
  <si>
    <t>eaiken@ucsd.edu</t>
  </si>
  <si>
    <t>Gabriel</t>
  </si>
  <si>
    <t>Andres Garzo</t>
  </si>
  <si>
    <t>A17814846</t>
  </si>
  <si>
    <t>gabrielandres.garzo@rpsandiego.com</t>
  </si>
  <si>
    <t>gmaayah@ucsd.edu</t>
  </si>
  <si>
    <t>Gabriel Maayah</t>
  </si>
  <si>
    <t>https://maayahga.github.io/Resume/#contact</t>
  </si>
  <si>
    <t>Maya Sissel</t>
  </si>
  <si>
    <t>Madison</t>
  </si>
  <si>
    <t>Hughes</t>
  </si>
  <si>
    <t>msissel@ucsd.edu</t>
  </si>
  <si>
    <t>madison.hughes@rpsandiego.com</t>
  </si>
  <si>
    <t>Igor</t>
  </si>
  <si>
    <t>Sfiligoi</t>
  </si>
  <si>
    <t>isfiligoi@sdsc.edu</t>
  </si>
  <si>
    <t>kez016@ucsd.edu</t>
  </si>
  <si>
    <t>A18114530</t>
  </si>
  <si>
    <t>Kevin Zhu</t>
  </si>
  <si>
    <t>https://drive.google.com/file/d/1ZBYM8lHyVzJ1goS2OXiwrNlbEI7tGGRs/view?usp=sharing</t>
  </si>
  <si>
    <t>Nicholas</t>
  </si>
  <si>
    <t>Boechler</t>
  </si>
  <si>
    <t>nboechler@ucsd.edu</t>
  </si>
  <si>
    <t>lwai@ucsd.edu</t>
  </si>
  <si>
    <t>A18547220</t>
  </si>
  <si>
    <t>Su Love Wai</t>
  </si>
  <si>
    <t>https://drive.google.com/file/d/1qY1Tr-6GW-SKgYCgf6ljmtcz2W_NqK7P/view?usp=sharing</t>
  </si>
  <si>
    <t>Jeff</t>
  </si>
  <si>
    <t>Candy</t>
  </si>
  <si>
    <t>candy@fusion.gat.com</t>
  </si>
  <si>
    <t>A17815488</t>
  </si>
  <si>
    <t>Belli</t>
  </si>
  <si>
    <t>bellie@fusion.gat.com</t>
  </si>
  <si>
    <t>Palina Volskaya</t>
  </si>
  <si>
    <t>pvolskaya@ucsd.edu</t>
  </si>
  <si>
    <t>bhn007@ucsd.edu</t>
  </si>
  <si>
    <t>A18582246</t>
  </si>
  <si>
    <t>Bryan Nguyen</t>
  </si>
  <si>
    <t>https://docs.google.com/document/d/12H_dfSY1xuTw5AzGJjdK4hHAgZ3nWSDfxSEbQdfyPPA/edit?usp=sharing</t>
  </si>
  <si>
    <t>Ilyes</t>
  </si>
  <si>
    <t>Meftah</t>
  </si>
  <si>
    <t>imeftah@cotality.com</t>
  </si>
  <si>
    <t>Justin</t>
  </si>
  <si>
    <t>Murphy</t>
  </si>
  <si>
    <t>jmurphy@cotality.com</t>
  </si>
  <si>
    <t>cat020@ucsd.edu</t>
  </si>
  <si>
    <t>Zhuang Mingrui</t>
  </si>
  <si>
    <t>m1zhuang@ucsd.edu</t>
  </si>
  <si>
    <t>Calvin Truong</t>
  </si>
  <si>
    <t>https://canva.link/47yjrht8rvs6d3u</t>
  </si>
  <si>
    <t>Mark</t>
  </si>
  <si>
    <t>Dixon</t>
  </si>
  <si>
    <t>markdixon@cotality.com</t>
  </si>
  <si>
    <t>jading@ucsd.edu</t>
  </si>
  <si>
    <t>Jack Ding</t>
  </si>
  <si>
    <t>https://ucsdcloud-my.sharepoint.com/:w:/g/personal/jading_ucsd_edu/IQAPKFzWqM4eRaEzHoPvOWnxAYwbbUSi0-2bZVTazKJK5Yg?e=UWAtsD</t>
  </si>
  <si>
    <t>Lawrence</t>
  </si>
  <si>
    <t>Vulis</t>
  </si>
  <si>
    <t>lvulis@cotality.com</t>
  </si>
  <si>
    <t>Kyle</t>
  </si>
  <si>
    <t>Nero</t>
  </si>
  <si>
    <t>kyle.nero@prismdata.com</t>
  </si>
  <si>
    <t>sfscott@ucsd.edu</t>
  </si>
  <si>
    <t>A18561762</t>
  </si>
  <si>
    <t>Scarlett Scott</t>
  </si>
  <si>
    <t>https://scarlett-scott.tiiny.site</t>
  </si>
  <si>
    <t>Turki Alrasheed</t>
  </si>
  <si>
    <t>talrasheed@ucsd.edu</t>
  </si>
  <si>
    <t>Daniel</t>
  </si>
  <si>
    <t>Mathew</t>
  </si>
  <si>
    <t>daniel.mathew@prismdata.com</t>
  </si>
  <si>
    <t>liz066@ucsd.edu</t>
  </si>
  <si>
    <t>Berk</t>
  </si>
  <si>
    <t>Ustun</t>
  </si>
  <si>
    <t>Liuxuhong Zhao</t>
  </si>
  <si>
    <t>berk@ucsd.edu</t>
  </si>
  <si>
    <t>https://drive.google.com/file/d/1lDAPC4XPetBJhNzxBi6-w2DIroj0S3ZA/view?usp=sharing</t>
  </si>
  <si>
    <t>A17819097</t>
  </si>
  <si>
    <t>Clayton Tan</t>
  </si>
  <si>
    <t>clt005@ucsd.edu</t>
  </si>
  <si>
    <t>Mikio</t>
  </si>
  <si>
    <t>Aoi</t>
  </si>
  <si>
    <t>maoi@ucsd.edu</t>
  </si>
  <si>
    <t>https://m1petersen.github.io/Resume.pdf</t>
  </si>
  <si>
    <t>Nathan</t>
  </si>
  <si>
    <t>Hui</t>
  </si>
  <si>
    <t>nthui@ucsd.edu</t>
  </si>
  <si>
    <t>Falko</t>
  </si>
  <si>
    <t>Kuester</t>
  </si>
  <si>
    <t>fkuester@ucsd.edu</t>
  </si>
  <si>
    <t>https://katiehanni.github.io/portfolio/</t>
  </si>
  <si>
    <t>Neal</t>
  </si>
  <si>
    <t>Driscoll</t>
  </si>
  <si>
    <t>ndriscoll@ucsd.edu</t>
  </si>
  <si>
    <t>https://drive.google.com/file/d/1TXsvMw9DzVHYRzBoyxjH3doXIf_HJFjG/view?usp=drivesdk</t>
  </si>
  <si>
    <t>Rayan</t>
  </si>
  <si>
    <t>Saab</t>
  </si>
  <si>
    <t>rsaab@ucsd.edu</t>
  </si>
  <si>
    <t>https://drive.google.com/file/d/1VdHkmLnwd8CizQ4I0yJrxgqZx6BTkc9Y/view?usp=drive_link</t>
  </si>
  <si>
    <t>Bradley</t>
  </si>
  <si>
    <t>Voytek</t>
  </si>
  <si>
    <t>bvoytek@ucsd.edu</t>
  </si>
  <si>
    <t>A17830823</t>
  </si>
  <si>
    <t>Rob</t>
  </si>
  <si>
    <t>jrs004@ucsd.edu</t>
  </si>
  <si>
    <t>A18515990</t>
  </si>
  <si>
    <t>Knight</t>
  </si>
  <si>
    <t>Joey Sandoval</t>
  </si>
  <si>
    <t>William Chou</t>
  </si>
  <si>
    <t>https://empty-cloud-59.linkyhost.com</t>
  </si>
  <si>
    <t>w4chou@ucsd.edu</t>
  </si>
  <si>
    <t>rknight@ucsd.edu</t>
  </si>
  <si>
    <t>Tauhidur</t>
  </si>
  <si>
    <t>Rahman</t>
  </si>
  <si>
    <t>trahman@ucsd.edu</t>
  </si>
  <si>
    <t>hbi@ucsd.edu</t>
  </si>
  <si>
    <t>A18536656</t>
  </si>
  <si>
    <t>Haoshuo Bi</t>
  </si>
  <si>
    <t>https://drive.google.com/file/d/1HIlvsPhkXjsYxl5QlptyKpPQk9Q3PHKb/view?usp=sharing</t>
  </si>
  <si>
    <t>Tiffany</t>
  </si>
  <si>
    <t>Amariuta</t>
  </si>
  <si>
    <t>tamariutabartell@ucsd.edu</t>
  </si>
  <si>
    <t>Eric Gan</t>
  </si>
  <si>
    <t>ergan@ucsd.edu</t>
  </si>
  <si>
    <t xml:space="preserve">https://drive.google.com/file/d/1KBjR998xfMbT4T4EqSoeDk9T_xa_0rRX/view?usp=sharing </t>
  </si>
  <si>
    <t>Victor</t>
  </si>
  <si>
    <t>Minces</t>
  </si>
  <si>
    <t>vminces@ucsd.edu</t>
  </si>
  <si>
    <t>https://drive.google.com/file/d/1cqvycmUxQDlQYAZtSn2OWPLIyHBufNaz/view?usp=sharing</t>
  </si>
  <si>
    <t>Edwards Tong</t>
  </si>
  <si>
    <t>edtong@ucsd.edu</t>
  </si>
  <si>
    <t>akk006@ucsd.edu</t>
  </si>
  <si>
    <t>Andrew Kim</t>
  </si>
  <si>
    <t>Alex</t>
  </si>
  <si>
    <t>https://docs.google.com/document/d/1hbNNfcQlbgaK--9dul7WzgoSSt2r8pJm/edit</t>
  </si>
  <si>
    <t>Warstadt</t>
  </si>
  <si>
    <t>awarstadt@ucsd.edu</t>
  </si>
  <si>
    <t>Owen McFadden</t>
  </si>
  <si>
    <t>Armin</t>
  </si>
  <si>
    <t>omcfadden@ucsd.edu</t>
  </si>
  <si>
    <t>Schwartzman</t>
  </si>
  <si>
    <t>armins@ucsd.edu</t>
  </si>
  <si>
    <t>ymir@ucsd.edu</t>
  </si>
  <si>
    <t>A17977854</t>
  </si>
  <si>
    <t>Yaqub Mir</t>
  </si>
  <si>
    <t>https://drive.google.com/file/d/1Pb3BPBKpi321idEYxCNBQSBanEJEBW1q/view?usp=sharing</t>
  </si>
  <si>
    <t>Eldridge</t>
  </si>
  <si>
    <t>jeldridge@ucsd.edu</t>
  </si>
  <si>
    <t>Dusan</t>
  </si>
  <si>
    <t>saouyang@ucsd.edu</t>
  </si>
  <si>
    <t>Bosnjakovic</t>
  </si>
  <si>
    <t>dusan_bosnjakovic@intuit.com</t>
  </si>
  <si>
    <t>Sam Ouyang</t>
  </si>
  <si>
    <t>https://drive.google.com/file/d/1XoH2ZaY2-maJyDSWaJ86HFKP1K6KExt0/view?usp=sharing</t>
  </si>
  <si>
    <t>Mehul Verma</t>
  </si>
  <si>
    <t>meverma@ucsd.edu</t>
  </si>
  <si>
    <t>Perez</t>
  </si>
  <si>
    <t>Ogayo</t>
  </si>
  <si>
    <t>perez_ogayo@intuit.com</t>
  </si>
  <si>
    <t>ameredith@ucsd.edu</t>
  </si>
  <si>
    <t>A17986122</t>
  </si>
  <si>
    <t xml:space="preserve">Audrey Meredith </t>
  </si>
  <si>
    <t>https://drive.google.com/file/d/1bR2xJQ6Y6L7ZYxLygGFkoKOYMvfMlf9x/view?usp=sharing</t>
  </si>
  <si>
    <t>A17844626</t>
  </si>
  <si>
    <t>Dhruvi</t>
  </si>
  <si>
    <t>Kothari</t>
  </si>
  <si>
    <t>dhruvi_kothari@intuit.com</t>
  </si>
  <si>
    <t>Neil Dewan</t>
  </si>
  <si>
    <t>ndewan@ucsd.edu</t>
  </si>
  <si>
    <t>hputhenparambil@ucsd.edu</t>
  </si>
  <si>
    <t>A18114772</t>
  </si>
  <si>
    <t>Hansel Puthenparambil</t>
  </si>
  <si>
    <t>https://canva.link/w9rox2gnd02rwod</t>
  </si>
  <si>
    <t>Calderon</t>
  </si>
  <si>
    <t>victor_calderon@intuit.com</t>
  </si>
  <si>
    <t>rsaez@ucsd.edu</t>
  </si>
  <si>
    <t>Rocio Saez Aguirre</t>
  </si>
  <si>
    <t>https://drive.google.com/file/d/1nem20aLurSi-ycTTHM2OG8H3ACFHFYEt/view?usp=sharing</t>
  </si>
  <si>
    <t>Jingbo</t>
  </si>
  <si>
    <t>Shang</t>
  </si>
  <si>
    <t>jshang@ucsd.edu</t>
  </si>
  <si>
    <t>Lily</t>
  </si>
  <si>
    <t>Weng</t>
  </si>
  <si>
    <t>lwegn@ucsd.edu</t>
  </si>
  <si>
    <t>Misha</t>
  </si>
  <si>
    <t>Belkin</t>
  </si>
  <si>
    <t>mbelkin@ucsd.edu</t>
  </si>
  <si>
    <t>kgarvais@ucsd.edu</t>
  </si>
  <si>
    <t>Summer Garvais</t>
  </si>
  <si>
    <t>https://drive.google.com/file/d/1-CXGs8442uCFcEdYN1nGb-s2cqa2QIbd/view?usp=sharing</t>
  </si>
  <si>
    <t>Chidiebere Agunanne</t>
  </si>
  <si>
    <t>cagunanne@ucsd.edu</t>
  </si>
  <si>
    <t>Ryan</t>
  </si>
  <si>
    <t>Lingo</t>
  </si>
  <si>
    <t>ryan_lingo@honda-ri.com</t>
  </si>
  <si>
    <t>elc015@ucsd.edu</t>
  </si>
  <si>
    <t>Elvin Chen</t>
  </si>
  <si>
    <t>https://docs.google.com/document/d/1iDRBAyU01B9DfRj5lR6Rt4AjUxtZGPjXwPl7PcIRhzc/edit?usp=sharing</t>
  </si>
  <si>
    <t>Rajeev</t>
  </si>
  <si>
    <t>Chhajer</t>
  </si>
  <si>
    <t>Jason Liu</t>
  </si>
  <si>
    <t>rajeev_chhajer@honda-ri.com</t>
  </si>
  <si>
    <t>jal134@ucsd.edu</t>
  </si>
  <si>
    <t>Stuart</t>
  </si>
  <si>
    <t>Geiger</t>
  </si>
  <si>
    <t>sgeiger@ucsd.edu</t>
  </si>
  <si>
    <t>hagonzalez@ucsd.edu</t>
  </si>
  <si>
    <t>A18113501</t>
  </si>
  <si>
    <t>Hannah Gonzalez</t>
  </si>
  <si>
    <t>https://drive.google.com/file/d/1wk3w50NM-NwcC028MWlkaf7fpBzY2JJq/view?usp=sharing</t>
  </si>
  <si>
    <t>Atherv Vidhate</t>
  </si>
  <si>
    <t>Tianhao</t>
  </si>
  <si>
    <t>avidhate@ucsd.edu</t>
  </si>
  <si>
    <t>Wang</t>
  </si>
  <si>
    <t>tianhaowang@ucsd.edu</t>
  </si>
  <si>
    <t>ssarvepally@ucsd.edu</t>
  </si>
  <si>
    <t>Siddhartha Sarvepally</t>
  </si>
  <si>
    <t>https://drive.google.com/file/d/1VYP7FyFe5a9rj-4GP51hWwbnU8Qi-NsL/view?usp=sharing</t>
  </si>
  <si>
    <t>Yoav</t>
  </si>
  <si>
    <t>Freund</t>
  </si>
  <si>
    <t>yfreund@ucsd.edu</t>
  </si>
  <si>
    <t>Deepal Deleena</t>
  </si>
  <si>
    <t>ddeleena@ucsd.edu</t>
  </si>
  <si>
    <t>cot005@ucsd.edu</t>
  </si>
  <si>
    <t>A18488919</t>
  </si>
  <si>
    <t>Colin Tran</t>
  </si>
  <si>
    <t>https://docs.google.com/document/d/1NHIf6737Oeb1odE3XBb-oOJ8h1IynRMzebFsGiq1XL8/edit?usp=sharing/</t>
  </si>
  <si>
    <t>Yusu</t>
  </si>
  <si>
    <t>yusuwang@ucsd.edu</t>
  </si>
  <si>
    <t>Babak</t>
  </si>
  <si>
    <t>Salimi</t>
  </si>
  <si>
    <t>bsalimi@ucsd.edu</t>
  </si>
  <si>
    <t>a3kuo@ucsd.edu</t>
  </si>
  <si>
    <t>A18111482</t>
  </si>
  <si>
    <t>Alexander Kuo</t>
  </si>
  <si>
    <t>https://drive.google.com/file/d/1KML4VI0U39cHjuuCRXWAmripuLO5gNFf/view</t>
  </si>
  <si>
    <t>Rajesh</t>
  </si>
  <si>
    <t>jal174@ucsd.edu</t>
  </si>
  <si>
    <t>Gupta</t>
  </si>
  <si>
    <t>A18540154</t>
  </si>
  <si>
    <t>Justin Lee</t>
  </si>
  <si>
    <t>rgupta@ucsd.edu</t>
  </si>
  <si>
    <t>https://docs.google.com/document/d/1TM5SKnBAr8q36RFxL0u4msPfsxShibbtNJOA66IuMCM/edit?usp=sharing</t>
  </si>
  <si>
    <t>Renu</t>
  </si>
  <si>
    <t>Raman</t>
  </si>
  <si>
    <t>renu.raman@terizza.com</t>
  </si>
  <si>
    <t>Brian</t>
  </si>
  <si>
    <t>Chin</t>
  </si>
  <si>
    <t>b5chin@ucsd.edu</t>
  </si>
  <si>
    <t>Hieu Nguyen</t>
  </si>
  <si>
    <t>vin028@ucsd.edu</t>
  </si>
  <si>
    <t>talbao@ucsd.edu</t>
  </si>
  <si>
    <t>Ty Albao</t>
  </si>
  <si>
    <t>https://tyism.com/lib/resume.pdf</t>
  </si>
  <si>
    <t>Vikram</t>
  </si>
  <si>
    <t>Joshi</t>
  </si>
  <si>
    <t>vikram.joshi@terizza.com</t>
  </si>
  <si>
    <t>Yi-Hsuan Kuo</t>
  </si>
  <si>
    <t>y3kuo@ucsd.edu</t>
  </si>
  <si>
    <t>tez002@ucsd.edu</t>
  </si>
  <si>
    <t>A18553017</t>
  </si>
  <si>
    <t>Terence Zhang</t>
  </si>
  <si>
    <t>Jack</t>
  </si>
  <si>
    <t>Brzeznski</t>
  </si>
  <si>
    <t>jack.brzeznski@terizza.com</t>
  </si>
  <si>
    <t>https://docs.google.com/document/d/1m_6w2jshW_L9DWLIbqm0CPbM6LYZzQozB7VL0pmuhVk/edit?tab=t.0#heading=h.sxrgyex1k567</t>
  </si>
  <si>
    <t>A17853863</t>
  </si>
  <si>
    <t>Zhijian</t>
  </si>
  <si>
    <t>Liu</t>
  </si>
  <si>
    <t>zhijian@ucsd.edu</t>
  </si>
  <si>
    <t>Varick Hasim</t>
  </si>
  <si>
    <t>vhasim@ucsd.edu</t>
  </si>
  <si>
    <t>Arya</t>
  </si>
  <si>
    <t>Mazumdar</t>
  </si>
  <si>
    <t>amazumdar@ucsd.edu</t>
  </si>
  <si>
    <t>https://docs.google.com/document/d/1t2bryKaiHNX4lbiq1acFJZQLJE53A2fw8Y2Zww-_cWQ/edit?usp=sharing</t>
  </si>
  <si>
    <t>Jun-Kun</t>
  </si>
  <si>
    <t>jkw005@ucsd.edu</t>
  </si>
  <si>
    <t>https://docs.google.com/document/d/1xHcSBfIRQ6GoaNUk1ExqDFSEFhRLnFrKOSvrQpHL4tY/edit?usp=sharing</t>
  </si>
  <si>
    <t>Peter</t>
  </si>
  <si>
    <t>Chi</t>
  </si>
  <si>
    <t>pbchi@ucsd.edu</t>
  </si>
  <si>
    <t>Bijan</t>
  </si>
  <si>
    <t>Arbab</t>
  </si>
  <si>
    <t>https://docs.google.com/document/d/1_mWDJgILGIRMeAD2VSpNJQtpGjXTZZK1uS_no24SjA8/edit?usp=sharing</t>
  </si>
  <si>
    <t>bijanarbab@gmail.com</t>
  </si>
  <si>
    <t>Jingwen Gu</t>
  </si>
  <si>
    <t>jig040@ucsd.edu</t>
  </si>
  <si>
    <t>Matt</t>
  </si>
  <si>
    <t>Endo</t>
  </si>
  <si>
    <t>MEndo@sandiego.gov</t>
  </si>
  <si>
    <t>https://drive.google.com/file/d/146nXCJmwM8IT1YvoyqwhsuwwDkMNhBda/view?usp=sharing</t>
  </si>
  <si>
    <t>Sara</t>
  </si>
  <si>
    <t>Agahi</t>
  </si>
  <si>
    <t>Sara.Agahi@sdcounty.ca.gov</t>
  </si>
  <si>
    <t>Reem</t>
  </si>
  <si>
    <t>Khojah</t>
  </si>
  <si>
    <t>rkhojah@ucsd.edu</t>
  </si>
  <si>
    <t>ahkong@ucsd.edu</t>
  </si>
  <si>
    <t>Adrian Kong</t>
  </si>
  <si>
    <t>https://drive.google.com/file/d/1xThigWfSt3YMoascdpfN4CPJL_yGmaxJ/view?usp=sharing</t>
  </si>
  <si>
    <t>Robert</t>
  </si>
  <si>
    <t>Wilderman</t>
  </si>
  <si>
    <t xml:space="preserve"> robert.wildeman@us.bosch.com</t>
  </si>
  <si>
    <t>a7agrawal@ucsd.edu</t>
  </si>
  <si>
    <t>Aarav Agrawal</t>
  </si>
  <si>
    <t>https://drive.google.com/file/d/16gB8jmR3u37MaAChV6RXNDXxCVl6yjOs/view?usp=sharing</t>
  </si>
  <si>
    <t>Soohyun</t>
  </si>
  <si>
    <t>Liao</t>
  </si>
  <si>
    <t>snam@ucsd.edu</t>
  </si>
  <si>
    <t>Ishaan Gosain</t>
  </si>
  <si>
    <t>igosain@ucsd.edu</t>
  </si>
  <si>
    <t>kyduong@ucsd.edu</t>
  </si>
  <si>
    <t>A18113121</t>
  </si>
  <si>
    <t>Kyle Duong</t>
  </si>
  <si>
    <t>https://www.overleaf.com/read/dmthzmkrrbgq#1be766</t>
  </si>
  <si>
    <t>srangan@ucsd.edu</t>
  </si>
  <si>
    <t>Sahana Rangan</t>
  </si>
  <si>
    <t>https://drive.google.com/file/d/1RhNGwZ8l-9slNUknoNIIxAwyAOba-ov4/view?usp=sharing</t>
  </si>
  <si>
    <t>Jiya Makhija</t>
  </si>
  <si>
    <t>jmakhija@ucsd.edu</t>
  </si>
  <si>
    <t>joyepez@ucsd.edu</t>
  </si>
  <si>
    <t>Jonathan Yepez</t>
  </si>
  <si>
    <t>https://jyepez26.github.io/personal-page/index.html</t>
  </si>
  <si>
    <t>nlc001@ucsd.edu</t>
  </si>
  <si>
    <t>A18490569</t>
  </si>
  <si>
    <t>Nicholas Chan</t>
  </si>
  <si>
    <t>https://nicholas-chann.github.io/portfolio/</t>
  </si>
  <si>
    <t>Borngreat Omoma-Edosa</t>
  </si>
  <si>
    <t>oomomaedosa@ucsd.edu</t>
  </si>
  <si>
    <t>clw009@ucsd.edu</t>
  </si>
  <si>
    <t>A18114084</t>
  </si>
  <si>
    <t>Claire Wang</t>
  </si>
  <si>
    <t>https://drive.google.com/file/d/1Pzb-8L_gb959JXR8482PZCz_JXiPZmwP/view?usp=sharing</t>
  </si>
  <si>
    <t>https://drive.google.com/file/d/1gu8oLtCbWdUsynawdgGMY5HR0LlUlnry/view?usp=drive_link</t>
  </si>
  <si>
    <t>j5doan@ucsd.edu</t>
  </si>
  <si>
    <t>A18147030</t>
  </si>
  <si>
    <t>Jacob Doan</t>
  </si>
  <si>
    <t>https://drive.google.com/file/d/17zZw7KDW63uGhvntFa2U_zPOAM6MFCgM/view?usp=sharing</t>
  </si>
  <si>
    <t>Tiantian Zheng</t>
  </si>
  <si>
    <t>t3zheng@ucsd.edu</t>
  </si>
  <si>
    <t>https://docs.google.com/document/d/147O00Umd7I0XBCBYhqMTy9p4e5VbbqdqaI0OLoZNJOc/edit?usp=sharing</t>
  </si>
  <si>
    <t>https://ctu-tls.github.io/portfolio/</t>
  </si>
  <si>
    <t>Kevin Zhang</t>
  </si>
  <si>
    <t>kez015@ucsd.edu</t>
  </si>
  <si>
    <t>https://drive.google.com/file/d/1Z-JxJ1IT0VRi-OphfscDWTBezzEaawRQ/view?usp=sharing</t>
  </si>
  <si>
    <t>A17878344</t>
  </si>
  <si>
    <t>jymiao@ucsd.edu</t>
  </si>
  <si>
    <t>A18292797</t>
  </si>
  <si>
    <t>Jocelyn Miao</t>
  </si>
  <si>
    <t>https://drive.google.com/file/d/1N1oxe5E3sVTYzrZ7efM3Mrey5-IjMmcY/view?usp=sharing</t>
  </si>
  <si>
    <t>Ivan Chen</t>
  </si>
  <si>
    <t>ivc003@ucsd.edu</t>
  </si>
  <si>
    <t>https://www.issacroy.com/Issac_Roy_DSC.pdf</t>
  </si>
  <si>
    <t>Yadushan Thillainathan</t>
  </si>
  <si>
    <t>ythillainathan@ucsd.edu</t>
  </si>
  <si>
    <t>zil117@ucsd.edu</t>
  </si>
  <si>
    <t>Ziyan Liu</t>
  </si>
  <si>
    <t>https://drive.google.com/file/d/1wB1wrIRfDaNabSF18w27sNFFbRN4XE-l/view?usp=sharing</t>
  </si>
  <si>
    <t>A17880895</t>
  </si>
  <si>
    <t>Andrew Chen</t>
  </si>
  <si>
    <t>anc062@ucsd.edu</t>
  </si>
  <si>
    <t>https://drive.google.com/file/d/1l277XenvWDRDCiv6IvJixMqg4YidgHsx/view?usp=sharing</t>
  </si>
  <si>
    <t>Select Mentor from Dropdown</t>
  </si>
  <si>
    <t>ton010@ucsd.edu</t>
  </si>
  <si>
    <t>Tori Nguyen</t>
  </si>
  <si>
    <t>https://drive.google.com/file/d/1ESfpf4rb9w32US9ZNJzbvY3VG3pIiCuw/view?usp=sharing</t>
  </si>
  <si>
    <t>Katie Moc</t>
  </si>
  <si>
    <t>kmoc@ucsd.edu</t>
  </si>
  <si>
    <t>Select Domain ID from Dropdown</t>
  </si>
  <si>
    <t>https://drive.google.com/file/d/1NPAeGMSFvEQSAZh7avJZx0Giwm57JxAg/view?usp=sharing</t>
  </si>
  <si>
    <t>jjw022@ucsd.edu</t>
  </si>
  <si>
    <t>A18187781</t>
  </si>
  <si>
    <t>Jared Wang</t>
  </si>
  <si>
    <t>https://drive.google.com/file/d/1elcWnGi-HONjIKc2mLhWSfVPxg4Od0Ae/view?usp=sharing</t>
  </si>
  <si>
    <t>Chentao Gong</t>
  </si>
  <si>
    <t>c1gong@ucsd.edu</t>
  </si>
  <si>
    <t>https://docs.google.com/document/d/1wtErcB7EkTuZinQRmG7DelPB1RNDpo-WnO5O_R0TdCg/edit?usp=sharing</t>
  </si>
  <si>
    <t>A17891205</t>
  </si>
  <si>
    <t>Tejas Mani</t>
  </si>
  <si>
    <t>tmani@ucsd.edu</t>
  </si>
  <si>
    <t>https://docs.google.com/document/d/1L31Luql1SjPhouIx37WyyadT4-Nq03XOlokotGXJYCs/edit?usp=sharing</t>
  </si>
  <si>
    <t>Mentors for domain</t>
  </si>
  <si>
    <t>sazahir@ucsd.edu</t>
  </si>
  <si>
    <t xml:space="preserve">Sahar Zahir </t>
  </si>
  <si>
    <t>https://saharzahir.github.io/Portfolio/index.html</t>
  </si>
  <si>
    <t>aqiao@ucsd.edu</t>
  </si>
  <si>
    <t>Acelynn Qiao</t>
  </si>
  <si>
    <t>https://drive.google.com/file/d/1Jk7TYGx6AqMzkRpvELSxCGjW3AIb8uEk/view?usp=sharing</t>
  </si>
  <si>
    <t>mik061@ucsd.edu</t>
  </si>
  <si>
    <t>Minyoung Kim</t>
  </si>
  <si>
    <t>https://docs.google.com/document/d/1BYXtGaajUMFcAkoj1IhQw7AjXLigWXLpYTTu3vBE6lI/edit?usp=sharing</t>
  </si>
  <si>
    <t>lmalott@ucsd.edu</t>
  </si>
  <si>
    <t>Leonard Malott</t>
  </si>
  <si>
    <t>https://drive.google.com/file/d/18NhA19Am4cHB89K4qo8STtNRUrCmLrhG/view?usp=sharing</t>
  </si>
  <si>
    <t>n5nair@ucsd.edu</t>
  </si>
  <si>
    <t>Nithya Nair</t>
  </si>
  <si>
    <t>https://docs.google.com/document/d/1tqwXvcnkJhlQ8tevFw_eHUsq0gz_8YiLfkKOAochQTw/edit?usp=sharing</t>
  </si>
  <si>
    <t>Daniel Budidharma</t>
  </si>
  <si>
    <t>vbudidharma@ucsd.edu</t>
  </si>
  <si>
    <t>m5hong@ucsd.edu</t>
  </si>
  <si>
    <t>Michelle Hong</t>
  </si>
  <si>
    <t>https://drive.google.com/file/d/1bh9-HDHJvambd5V_zUkh5ug5n8FBozCr/view?usp=sharing</t>
  </si>
  <si>
    <t>https://drive.google.com/file/d/1Yi1v1hGd5BJLhFFpMmptSSReQKHm6VP2/view?usp=sharing</t>
  </si>
  <si>
    <t>Genevieve Selsor</t>
  </si>
  <si>
    <t>gselsor@ucsd.edu</t>
  </si>
  <si>
    <t>t9su@ucsd.edu</t>
  </si>
  <si>
    <t>Terry Su</t>
  </si>
  <si>
    <t>https://drive.google.com/drive/folders/17gErsDyAnPBCVWuiexCOs14Cm_DWg5gC?usp=sharing</t>
  </si>
  <si>
    <t>I</t>
  </si>
  <si>
    <t>jgyim@ucsd.edu</t>
  </si>
  <si>
    <t>Jonathan Yim</t>
  </si>
  <si>
    <t>https://docs.google.com/document/d/1Mik1FiTG5c54elCmCHfDX7uPwZ6x3q46/edit?usp=sharing&amp;ouid=107664746494334677361&amp;rtpof=true&amp;sd=true</t>
  </si>
  <si>
    <t>A17909461</t>
  </si>
  <si>
    <t>Anirudh Annabathula</t>
  </si>
  <si>
    <t>vannabathula@ucsd.edu</t>
  </si>
  <si>
    <t>https://drive.google.com/file/d/1WlJKVt1I9WW3TRityOK7K0tsCLo2FOOe/view?usp=sharing</t>
  </si>
  <si>
    <t>Ryan Lee</t>
  </si>
  <si>
    <t>ryl004@ucsd.edu</t>
  </si>
  <si>
    <t>gtedja@ucsd.edu</t>
  </si>
  <si>
    <t>A18529579</t>
  </si>
  <si>
    <t>Gabriel Tedja</t>
  </si>
  <si>
    <t>https://docs.google.com/document/d/1gDh-1JNhFIp4N8WLWZv_AkLXx7JTWtMA9_czRY-tV-g/edit?usp=sharing</t>
  </si>
  <si>
    <t>A17915924</t>
  </si>
  <si>
    <t>https://drive.google.com/file/d/1M_B6aN32IkQ-76nzgjh4m_KMEbeF3ZKq/view?usp=sharing</t>
  </si>
  <si>
    <t>Jeronimo Adames-Baena</t>
  </si>
  <si>
    <t>jadamesbaena@ucsd.edu</t>
  </si>
  <si>
    <t>pmanne@ucsd.edu</t>
  </si>
  <si>
    <t>Preethi Manne</t>
  </si>
  <si>
    <t>https://drive.google.com/file/d/1D4fqY3hkOCTOitT_XyTCdta7ILP8DWET/view?usp=sharing</t>
  </si>
  <si>
    <t>Royce Nguyen</t>
  </si>
  <si>
    <t>ron005@ucsd.edu</t>
  </si>
  <si>
    <t>zhbai@ucsd.edu</t>
  </si>
  <si>
    <t>Tony Bai</t>
  </si>
  <si>
    <t>https://coco-juice.github.io/portfolio/resume.html</t>
  </si>
  <si>
    <t>lnt002@ucsd.edu</t>
  </si>
  <si>
    <t>A18567285</t>
  </si>
  <si>
    <t>Lillian Tran</t>
  </si>
  <si>
    <t>https://drive.google.com/file/d/1LjwzRjZVgFY2u4YpKfmbfkD2lKzNSQpV/view?usp=sharing</t>
  </si>
  <si>
    <t>edy003@ucsd.edu</t>
  </si>
  <si>
    <t>A18564426</t>
  </si>
  <si>
    <t>Edmond Yang</t>
  </si>
  <si>
    <t>https://drive.google.com/file/d/1R4L0XQiJPKWOpHoXkp_kxkMfqERqB7TX/view?usp=sharing</t>
  </si>
  <si>
    <t>A17920554</t>
  </si>
  <si>
    <t>https://pranavrajaram.com/Pranav_Rajaram_Resume.pdf</t>
  </si>
  <si>
    <t>Aarshia Gupta</t>
  </si>
  <si>
    <t>aag022@ucsd.edu</t>
  </si>
  <si>
    <t>xic096@ucsd.edu</t>
  </si>
  <si>
    <t>Xiao Cheng</t>
  </si>
  <si>
    <t>https://xiaocheng05.github.io/portfolio/resume/</t>
  </si>
  <si>
    <t>Fiona Zou</t>
  </si>
  <si>
    <t>fzou@ucsd.edu</t>
  </si>
  <si>
    <t>prmaiti@ucsd.edu</t>
  </si>
  <si>
    <t>A19088000</t>
  </si>
  <si>
    <t>Prisha Maiti</t>
  </si>
  <si>
    <t>https://docs.google.com/document/d/1leWOjoQq0UDgeSo0ROzWDNEB0PPbwWXkdl3FBPl0Pr0/edit?usp=sharing</t>
  </si>
  <si>
    <t>Akshay Uppal</t>
  </si>
  <si>
    <t>akuppal@ucsd.edu</t>
  </si>
  <si>
    <t>A17923281</t>
  </si>
  <si>
    <t>gawu@ucsd.edu</t>
  </si>
  <si>
    <t>Gavin Wu</t>
  </si>
  <si>
    <t>Sunny Sun</t>
  </si>
  <si>
    <t>chs019@ucsd.edu</t>
  </si>
  <si>
    <t>https://drive.google.com/file/d/1XtDg4KGtE893pwD_N7P_YWTsbKyrbjMd/view?usp=sharing</t>
  </si>
  <si>
    <t>zhz194@ucsd.edu</t>
  </si>
  <si>
    <t>A18548076</t>
  </si>
  <si>
    <t>Zhixiang Zhang</t>
  </si>
  <si>
    <t>https://xxzhangzzx.github.io/My_Resume/</t>
  </si>
  <si>
    <t>yis089@ucsd.edu</t>
  </si>
  <si>
    <t>Yidong Shi</t>
  </si>
  <si>
    <t>https://drive.google.com/file/d/1hhbfjIfvN2nH_QVUKeodWPNKQwT03GTD/view?usp=sharing</t>
  </si>
  <si>
    <t>https://docs.google.com/document/d/1S8wEenbQ26nrGN2SwQqEv9HKKMjFf63UnvGMrYDofg0/edit?usp=sharing</t>
  </si>
  <si>
    <t>Rohan Raval</t>
  </si>
  <si>
    <t>rraval@ucsd.edu</t>
  </si>
  <si>
    <t>https://docs.google.com/document/d/1693RVsm-6UAHZL90U32AJA-ELK029BmpEuyF2L0IIFA/edit?usp=sharing</t>
  </si>
  <si>
    <t>https://drive.google.com/file/d/1yJsF48cxRYipKyQC0wCpoerC7UykkZgF/view?usp=sharing</t>
  </si>
  <si>
    <t>A17944874</t>
  </si>
  <si>
    <t>dcraver@ucsd.edu</t>
  </si>
  <si>
    <t>A19090693</t>
  </si>
  <si>
    <t>Dylan Craver</t>
  </si>
  <si>
    <t xml:space="preserve">www.linkedin.com/in/dylancraver2005 </t>
  </si>
  <si>
    <t>Derek Kuang</t>
  </si>
  <si>
    <t>zakuang@ucsd.edu</t>
  </si>
  <si>
    <t>https://drive.google.com/file/d/1K-JT5K0Yom5bXFWB0wkcPpoCXLKfTzpe/view?usp=sharing</t>
  </si>
  <si>
    <t>A17945001</t>
  </si>
  <si>
    <t>Terran Chow</t>
  </si>
  <si>
    <t>t6chow@ucsd.edu</t>
  </si>
  <si>
    <t>https://www.linkedin.com/in/terran-chow/</t>
  </si>
  <si>
    <t>https://drive.google.com/file/d/1-rZHe8a9YEBC6QW7U7vcCfYtIICDn3Kb/view?usp=sharing</t>
  </si>
  <si>
    <t>Surya Setty</t>
  </si>
  <si>
    <t>ssetty@ucsd.edu</t>
  </si>
  <si>
    <t>https://drive.google.com/file/d/1u2chHmDSk8MupioGSGSo1g7II3gMxuB4/view?usp=sharing</t>
  </si>
  <si>
    <t>kic011@ucsd.edu</t>
  </si>
  <si>
    <t>Kimi Chen</t>
  </si>
  <si>
    <t>https://www.kimichen.net/assets/kimi-chen-resume.pdf</t>
  </si>
  <si>
    <t>David Chew</t>
  </si>
  <si>
    <t>dchew@ucsd.edu</t>
  </si>
  <si>
    <t>shc078@ucsd.edu</t>
  </si>
  <si>
    <t>A18540646</t>
  </si>
  <si>
    <t>Shujia Chen</t>
  </si>
  <si>
    <t>https://irisc113.github.io/portfolio/file/Chen_Iris_Resume.pdf</t>
  </si>
  <si>
    <t>Edward Zhang</t>
  </si>
  <si>
    <t>edz001@ucsd.edu</t>
  </si>
  <si>
    <t>sovo@ucsd.edu</t>
  </si>
  <si>
    <t>Sophia Vo</t>
  </si>
  <si>
    <t>https://drive.google.com/file/d/16u43IySxrBp_CGOzCw4P9zMS6lVOR3w_/view?usp=sharing</t>
  </si>
  <si>
    <t>Ryan Tang</t>
  </si>
  <si>
    <t>r4tang@ucsd.edu</t>
  </si>
  <si>
    <t>https://drive.google.com/file/d/1jS8JpspIpqXKvnCHo0fjtc18ke65ysnX/view?usp=sharing</t>
  </si>
  <si>
    <t>A17961710</t>
  </si>
  <si>
    <t>Leo Wiemelt</t>
  </si>
  <si>
    <t>lwiemelt@ucsd.edu</t>
  </si>
  <si>
    <t>https://drive.google.com/file/d/1s0K7SSc0USb1AZhB3k1qcvZFKsRsO-U9/view?usp=sharing</t>
  </si>
  <si>
    <t>rapatnaik@ucsd.edu</t>
  </si>
  <si>
    <t>A18113154</t>
  </si>
  <si>
    <t>Rakshan Patnaik</t>
  </si>
  <si>
    <t>https://drive.google.com/file/d/1qhoHJpKaoG5SyzvCaq0VR1hSjqpirlhs/view?usp=sharing</t>
  </si>
  <si>
    <t>A17975990</t>
  </si>
  <si>
    <t>https://atherv.com/Atherv_Vidhate_Resume.pdf</t>
  </si>
  <si>
    <t>https://drive.google.com/file/d/1-YreAvbcaory1PvjGo0AVmOMEJulf2SB/view?usp=sharing</t>
  </si>
  <si>
    <t>Shant Guedekelian</t>
  </si>
  <si>
    <t>sguedekelian@ucsd.edu</t>
  </si>
  <si>
    <t>https://drive.google.com/file/d/1fe49py23R61ExwQHt2IwbOYehkri6Bn_/view?usp=sharing</t>
  </si>
  <si>
    <t>Maggie Zhang</t>
  </si>
  <si>
    <t>maz007@ucsd.edu</t>
  </si>
  <si>
    <t>https://drive.google.com/file/d/1jfPNftjdrrnB297Bv6AfTKI8CaXodmY8/view?usp=sharing</t>
  </si>
  <si>
    <t>A17984087</t>
  </si>
  <si>
    <t>afrederick@ucsd.edu</t>
  </si>
  <si>
    <t>Alex Frederick</t>
  </si>
  <si>
    <t>https://drive.google.com/file/d/1DFV1yWdz6-yonMIhD815N10XtRytCj1e/view?usp=sharing</t>
  </si>
  <si>
    <t>Keanu Ventura</t>
  </si>
  <si>
    <t>keventura@ucsd.edu</t>
  </si>
  <si>
    <t>sat018@ucsd.edu</t>
  </si>
  <si>
    <t>A18540045</t>
  </si>
  <si>
    <t>Salina Tang</t>
  </si>
  <si>
    <t>https://salina-tang.github.io/portfolio/resume/</t>
  </si>
  <si>
    <t>Audrey Meredith</t>
  </si>
  <si>
    <t>https://canva.link/fpyo5l8sp8yayxq</t>
  </si>
  <si>
    <t>https://drive.google.com/file/d/1L2dMBFjkyDoswRVK22LTbGPguhgNs0x3/view?usp=sharing</t>
  </si>
  <si>
    <t>A17991015</t>
  </si>
  <si>
    <t>Noah Golder</t>
  </si>
  <si>
    <t>ngolder@ucsd.edu</t>
  </si>
  <si>
    <t>jgoelkel@ucsd.edu</t>
  </si>
  <si>
    <t>Jaden Goelkel</t>
  </si>
  <si>
    <t>https://docs.google.com/document/d/16PZR4iyuFzvxR_cAmyHwaJKgb3IgPPiwZBXJnv57kC4/edit?usp=sharing</t>
  </si>
  <si>
    <t>https://drive.google.com/file/d/1iG9NLemREkpRA29XYSICFmQ1XXhiEIeF/view?usp=sharing</t>
  </si>
  <si>
    <t>zaz003@ucsd.edu</t>
  </si>
  <si>
    <t>A18514077</t>
  </si>
  <si>
    <t>Zihan Zhang</t>
  </si>
  <si>
    <t>https://docs.google.com/document/d/1S8LIoVl64nWTtMC_2LSrIO2bcm2_S6Ib6dd3Az_4HMY/edit?tab=t.0</t>
  </si>
  <si>
    <t>A17995383</t>
  </si>
  <si>
    <t>Ganesh Kumarappan</t>
  </si>
  <si>
    <t>gkumarappan@ucsd.edu</t>
  </si>
  <si>
    <t>https://docs.google.com/document/d/1coeKHDMCr2ssU7Tlpsk8euHDxAclnr5wH1cK6HqOY2w/edit?usp=sharing</t>
  </si>
  <si>
    <t>A17999060</t>
  </si>
  <si>
    <t>Junran Yang</t>
  </si>
  <si>
    <t>juy029@ucsd.edu</t>
  </si>
  <si>
    <t>https://wendydu1102.github.io/portfolio/</t>
  </si>
  <si>
    <t>kagastyaraju@ucsd.edu</t>
  </si>
  <si>
    <t>A18116867</t>
  </si>
  <si>
    <t>Kaushik Agastyaraju</t>
  </si>
  <si>
    <t>https://drive.google.com/file/d/1VndDy7pVodVZ4U0wWqS8w_pD-E6X8g8z/view?usp=sharing</t>
  </si>
  <si>
    <t>A18109994</t>
  </si>
  <si>
    <t>Jiahe Qin</t>
  </si>
  <si>
    <t>jiq004@ucsd.edu</t>
  </si>
  <si>
    <t>dylouie@ucsd.edu</t>
  </si>
  <si>
    <t>A18615626</t>
  </si>
  <si>
    <t>Dylan Louie</t>
  </si>
  <si>
    <t>https://drive.google.com/file/d/12RADHRuqmMxyXal_-Mu-zv9ybQ5mcRO4/view?usp=sharing</t>
  </si>
  <si>
    <t>https://drive.google.com/file/d/1jQWWk7mNw_XpgkBkUZrUS9sZ9pfd8ZWJ/view?usp=sharing</t>
  </si>
  <si>
    <t>vic006@ucsd.edu</t>
  </si>
  <si>
    <t>Victor Chen</t>
  </si>
  <si>
    <t>https://docs.google.com/document/d/10sHm9nT2hS-Otb-1JGVEfr2mL2x_LCdaC1wHROGP-_k/edit?usp=sharing</t>
  </si>
  <si>
    <t>https://drive.google.com/file/d/17W8A9q8P_4p_hD9z7ANmYgu8NyVKt7r3/view?usp=sharing</t>
  </si>
  <si>
    <t>https://drive.google.com/file/d/12c2pZWwFuQtVp76SqG7H9o6oOu_5vhy1/view?usp=sharing</t>
  </si>
  <si>
    <t>https://drive.google.com/file/d/1fxTJ8Sv7a36GfxWnWooxxsXWr9vJlpSL/view?usp=sharing</t>
  </si>
  <si>
    <t>https://drive.google.com/file/d/1RYuXUkMun6DIy1rLOeqZoa111CXLg7sZ/view?usp=sharing</t>
  </si>
  <si>
    <t>https://docs.google.com/document/d/15xJaVPL7E5mFHM9FNLg4jVuquq7eqQgVNYNOqE3rjZk/edit?usp=sharing</t>
  </si>
  <si>
    <t>Uday Lingampalli</t>
  </si>
  <si>
    <t>ulingampalli@ucsd.edu</t>
  </si>
  <si>
    <t>dydsouza@ucsd.edu</t>
  </si>
  <si>
    <t>A18325614</t>
  </si>
  <si>
    <t>Dylan Dsouza</t>
  </si>
  <si>
    <t>https://dylandsouza.com/resume</t>
  </si>
  <si>
    <t>A18112450</t>
  </si>
  <si>
    <t>c3xiang@ucsd.edu</t>
  </si>
  <si>
    <t>A18113351</t>
  </si>
  <si>
    <t>Cheryl Xiang</t>
  </si>
  <si>
    <t>https://drive.google.com/file/d/1JAxyqagNyFCx0GnppCNnd8N7y-SQbIIs/view?usp=sharing</t>
  </si>
  <si>
    <t>Ansh Bhatnagar</t>
  </si>
  <si>
    <t>abhatnagar@ucsd.edu</t>
  </si>
  <si>
    <t>https://canva.link/vlqa3iccamehijz</t>
  </si>
  <si>
    <t>github.com/abdulrahimham</t>
  </si>
  <si>
    <t>https://drive.google.com/file/d/1skIoxzEX7ZXCdFqQOweXy4aupQ7g7CRu/view?usp=sharing</t>
  </si>
  <si>
    <t>https://docs.google.com/document/d/1HXMj4RXJIhUimOA_MrkuHka0gZqz952XUGONAUFzNjQ/edit?usp=sharing</t>
  </si>
  <si>
    <t>apatra@ucsd.edu</t>
  </si>
  <si>
    <t>A18647188</t>
  </si>
  <si>
    <t>Arushi Patra</t>
  </si>
  <si>
    <t>https://drive.google.com/file/d/1UUVcWzwFMXkm-DiZ4XyZxJjBS25dHsc5/view?usp=sharing</t>
  </si>
  <si>
    <t>jdeshmukh@ucsd.edu</t>
  </si>
  <si>
    <t>A18633328</t>
  </si>
  <si>
    <t>Juee Deshmukh</t>
  </si>
  <si>
    <t xml:space="preserve">https://drive.google.com/file/d/1yaFQGMMncsAIaNOQmy82ISnVRSFLnfv_/view?usp=sharing </t>
  </si>
  <si>
    <t>d4phan@ucsd.edu</t>
  </si>
  <si>
    <t>A18142000</t>
  </si>
  <si>
    <t>Daniel Phan</t>
  </si>
  <si>
    <t>https://d4phan.github.io/portfolio/</t>
  </si>
  <si>
    <t>https://drive.google.com/file/d/1i9ozCkB7586B7OfpHQN9u0EbkZlnrFV1/view?usp=sharing</t>
  </si>
  <si>
    <t>k2peng@ucsd.edu</t>
  </si>
  <si>
    <t>Kangxin Peng</t>
  </si>
  <si>
    <t>https://kpengds.github.io/portfolio/</t>
  </si>
  <si>
    <t>yow018@ucsd.edu</t>
  </si>
  <si>
    <t>Yonghao Wang</t>
  </si>
  <si>
    <t>https://drive.google.com/file/d/1ve7gxe8J_dpOkz8H3cYVpwL1KsBL3dCy/view?usp=sharing</t>
  </si>
  <si>
    <t>https://drive.google.com/file/d/1MCqmRZ5vWKwlGubIpsh1o2Ps4weqphdG/view?usp=sharing</t>
  </si>
  <si>
    <t>praggarwal@ucsd.edu</t>
  </si>
  <si>
    <t>A18297392</t>
  </si>
  <si>
    <t>Pratham Aggarwal</t>
  </si>
  <si>
    <t>https://pratham-aggr.github.io/assets/resume.pdf</t>
  </si>
  <si>
    <t>https://drive.google.com/file/d/1Vz7mHoF8-EV4i0O93eagiYY18Z5UpTn5/view?usp=sharing</t>
  </si>
  <si>
    <t>https://drive.google.com/file/d/1YBSwU-I5Fhbvgm0taguyXfX-Rf8NI0l0/view?usp=sharing</t>
  </si>
  <si>
    <t>https://drive.google.com/file/d/1OvR54HzXAmaSk9VchYq_QKnCKklN2BgZ/view?usp=sharing</t>
  </si>
  <si>
    <t>https://drive.google.com/file/d/1jEaJqSHR1XjPt2j35s6N067_sRVF4lms/view?usp=sharing</t>
  </si>
  <si>
    <t>https://drive.google.com/file/d/19cNSSsVumaihaKlKKFhyegJb8wYkqyaG/view?usp=sharing</t>
  </si>
  <si>
    <t>shaing@ucsd.edu</t>
  </si>
  <si>
    <t>A18509116</t>
  </si>
  <si>
    <t>Susana Haing</t>
  </si>
  <si>
    <t>https://drive.google.com/file/d/1ISIzk3gh6DXW-E5C8-DCHAV6edeXZRRg/view?usp=sharing</t>
  </si>
  <si>
    <t>https://drive.google.com/file/d/1bWan_4wfSDQPO2fJY5pb5-97wdoayfqd/view?usp=sharing</t>
  </si>
  <si>
    <t>FLAT</t>
  </si>
  <si>
    <t>A18654426</t>
  </si>
  <si>
    <t>Julia Dial</t>
  </si>
  <si>
    <t>jrdial@ucsd.edu</t>
  </si>
  <si>
    <t>aaj013@ucsd.edu</t>
  </si>
  <si>
    <t>Aarushi Jain</t>
  </si>
  <si>
    <t>https://drive.google.com/file/d/1O_3F3YKqhmzzAV3ibFRACT6jjEOth3HP/view?usp=sharing</t>
  </si>
  <si>
    <t>https://drive.google.com/file/d/1ckD7UP2piFHYb2-CqBQrBk8dj69tOyJM/view?usp=sharing</t>
  </si>
  <si>
    <t>https://drive.google.com/file/d/1eCFsgrvIKiemQm34biiK5pqu-f-ljZZP/view?usp=drive_link</t>
  </si>
  <si>
    <t>Jayden Li</t>
  </si>
  <si>
    <t>jbl011@ucsd.edu</t>
  </si>
  <si>
    <t>Zonglin Zhang</t>
  </si>
  <si>
    <t>zoz002@ucsd.edu</t>
  </si>
  <si>
    <t>Kavyan Patel</t>
  </si>
  <si>
    <t>kpp007@ucsd.edu</t>
  </si>
  <si>
    <t>https://docs.google.com/document/d/1ZkUFx6eNLwZIlgcQ1NtRXzKoZVfYTopZ3sdI76Q5AFU/edit?usp=sharing</t>
  </si>
  <si>
    <t>Sweekrit Bhatnagar</t>
  </si>
  <si>
    <t>Brian Jing</t>
  </si>
  <si>
    <t>bjing@ucsd.edu</t>
  </si>
  <si>
    <t>rdewangan@ucsd.edu</t>
  </si>
  <si>
    <t>Raghav Dewangan</t>
  </si>
  <si>
    <t>https://drive.google.com/file/d/1EbJ1nd9iGRjORYUJZHIecDLYQrRYUkJt/view?usp=sharing</t>
  </si>
  <si>
    <t>Alexander Takamoto</t>
  </si>
  <si>
    <t>atakamoto@ucsd.edu</t>
  </si>
  <si>
    <t>Sahar Zahir</t>
  </si>
  <si>
    <t>yul347@ucsd.edu</t>
  </si>
  <si>
    <t>A18491889</t>
  </si>
  <si>
    <t>Yutao Lin</t>
  </si>
  <si>
    <t>https://yutaolin018.github.io/portfolio/</t>
  </si>
  <si>
    <t>A18114314</t>
  </si>
  <si>
    <t>A18562172</t>
  </si>
  <si>
    <t>Qi Zhang</t>
  </si>
  <si>
    <t>qiz081@ucsd.edu</t>
  </si>
  <si>
    <t>Michael Luo</t>
  </si>
  <si>
    <t>m6luo@ucsd.edu</t>
  </si>
  <si>
    <t>A18563363</t>
  </si>
  <si>
    <t>Mihir Vad</t>
  </si>
  <si>
    <t>mvad@ucsd.edu</t>
  </si>
  <si>
    <t>https://drive.google.com/file/d/1i8Ui96qS1-e0HnmHwpm0VzhN0kJG71eh/view?usp=sharing</t>
  </si>
  <si>
    <t>Raffi Dulgerian</t>
  </si>
  <si>
    <t>rdulgerian@ucsd.edu</t>
  </si>
  <si>
    <t>Daniel Huang</t>
  </si>
  <si>
    <t>dah028@ucsd.edu</t>
  </si>
  <si>
    <t>https://drive.google.com/file/d/1RofjG_TY08Gvov7Q_TKo_TaAlo2UDXAE/view?usp=sharing</t>
  </si>
  <si>
    <t>A18547791</t>
  </si>
  <si>
    <t>Lucien Hsiao</t>
  </si>
  <si>
    <t>lmhsiao@ucsd.edu</t>
  </si>
  <si>
    <t>https://vdanielb.com/resumes/VincentiusDanielBudidharma_Resume_AIEng.pdf</t>
  </si>
  <si>
    <t>A18499851</t>
  </si>
  <si>
    <t>Casey So</t>
  </si>
  <si>
    <t>cjso@ucsd.edu</t>
  </si>
  <si>
    <t>https://docs.google.com/document/d/1sFKZji6bg-zk42jFPKlWDQOxa0XFehjfV_g_cau5sGc/edit?usp=sharing</t>
  </si>
  <si>
    <t>Alan Xia</t>
  </si>
  <si>
    <t>alxia@ucsd.edu</t>
  </si>
  <si>
    <t>https://drive.google.com/file/d/1Uc1rNZn8P5YqxTP9Nwd8enwnu9Gtp-yU/view?usp=sharing</t>
  </si>
  <si>
    <t>A18492723</t>
  </si>
  <si>
    <t>Keith Gong</t>
  </si>
  <si>
    <t>x4gong@ucsd.edu</t>
  </si>
  <si>
    <t>A18498462</t>
  </si>
  <si>
    <t>Chang-Yu Lee</t>
  </si>
  <si>
    <t>chl318@ucsd.edu</t>
  </si>
  <si>
    <t>A18430504</t>
  </si>
  <si>
    <t>Karthik Sankaran</t>
  </si>
  <si>
    <t>ksankaran@ucsd.edu</t>
  </si>
  <si>
    <t>A18434223</t>
  </si>
  <si>
    <t>Ricki Chen</t>
  </si>
  <si>
    <t>ruc018@ucsd.edu</t>
  </si>
  <si>
    <t>https://drive.google.com/file/d/1Xbjv6JuZhscpDSSNE6AL45jBYWARuub6/view?usp=sharing</t>
  </si>
  <si>
    <t>Nicolas Toon</t>
  </si>
  <si>
    <t>nitoon@ucsd.edu</t>
  </si>
  <si>
    <t>Philip Chen</t>
  </si>
  <si>
    <t>phc006@ucsd.edu</t>
  </si>
  <si>
    <t>A18116339</t>
  </si>
  <si>
    <t>Brian Liu</t>
  </si>
  <si>
    <t>bzl002@ucsd.edu</t>
  </si>
  <si>
    <t>Abhinav Chinnam</t>
  </si>
  <si>
    <t>achinnam@ucsd.edu</t>
  </si>
  <si>
    <t>https://drive.google.com/file/d/1P5s-2zxAmmBt3eKhgrNJm6g0bhBA2RAp/view?usp=sharing</t>
  </si>
  <si>
    <t>A18117894</t>
  </si>
  <si>
    <t>Linus Lee</t>
  </si>
  <si>
    <t>chl256@ucsd.edu</t>
  </si>
  <si>
    <t>https://drive.google.com/file/d/15NxZWug7aRDlineX8psUzBlZHnua1Vac/view?usp=sharing</t>
  </si>
  <si>
    <t>https://drive.google.com/file/d/1kfXEt9sp-yROfanQI3BFb9XgPlJo6aOx/view?usp=sharing</t>
  </si>
  <si>
    <t>http://linkedin.com/in/sohan-shingade/</t>
  </si>
  <si>
    <t>https://drive.google.com/file/d/1qy_sdEPD8cA_6jCDDR9m6u-1SceSDfPf/view?usp=sharing</t>
  </si>
  <si>
    <t>https://uzairgheewala.com/cv</t>
  </si>
  <si>
    <t>https://drive.google.com/file/d/1gypUX_QbBuFg_WpgxR9c5aAtNiD80gvs/view?usp=sharing</t>
  </si>
  <si>
    <t>https://docs.google.com/document/d/1AwHSKkLadM8skCBkzL8aOT4bPzzTlLIU/edit?usp=sharing&amp;ouid=103917412905842773827&amp;rtpof=true&amp;sd=true</t>
  </si>
  <si>
    <t>https://drive.google.com/file/d/1vDMFImEdSVeW_CA-i_suu2mvLRVHGsa7/view?usp=sharing</t>
  </si>
  <si>
    <t>Jenny Xu</t>
  </si>
  <si>
    <t>jex004@ucsd.edu</t>
  </si>
  <si>
    <t>https://drive.google.com/file/d/1R7DYEt4FWGQbX_17BX9huizPl55VeiBx/view?usp=drivesdk</t>
  </si>
  <si>
    <t>Willem De Haan</t>
  </si>
  <si>
    <t>wdehaan@ucsd.edu</t>
  </si>
  <si>
    <t>https://drive.google.com/file/d/1wI8LfahZbnnGsjtCNYXd7-TOdx0OStiW/view</t>
  </si>
  <si>
    <t>Gabriel Borjas-Perez</t>
  </si>
  <si>
    <t>gborjasperez@ucsd.edu</t>
  </si>
  <si>
    <t>https://docs.google.com/document/d/1lnYu80D7YnvP8AIv7MAfjl9sfx_cq3m76mLZcbOLVjE/edit?usp=sharing</t>
  </si>
  <si>
    <t>https://drive.google.com/file/d/1JgdnjCYAM62s3kpOTjjrb21NUCNCprUE/view?usp=sharing</t>
  </si>
  <si>
    <t>https://docs.google.com/document/d/1ZDx0G4urf-0tMZrS09Mm1j1v2rxYkVUnz44sVbKMg_E/edit?tab=t.0</t>
  </si>
  <si>
    <t>https://drive.google.com/file/d/1zJjNlm1qLWTOr1qLTD7WWkOfb7BpGcAa/view?usp=sharing</t>
  </si>
  <si>
    <t>https://docs.google.com/document/d/10ya90Rgfl6HI5ObowlBqY1F1lgdJW_hVVhBpZfmb0dM/edit?usp=sharing</t>
  </si>
  <si>
    <t>https://drive.google.com/file/d/1xykMUJB4KeYVrysmEJRx8nen61HEezkU/view?usp=drivesdk</t>
  </si>
  <si>
    <t>A19156136</t>
  </si>
  <si>
    <t>Sana Gupta</t>
  </si>
  <si>
    <t>svgupta@ucsd.edu</t>
  </si>
  <si>
    <t>https://drive.google.com/file/d/1_0m4sP8E1miNOm_4KYaQd2ASonbIs3YP/view?usp=drive_link</t>
  </si>
  <si>
    <t>Adit Gautam</t>
  </si>
  <si>
    <t>a2gautam@ucsd.edu</t>
  </si>
  <si>
    <t>https://drive.google.com/file/d/1RJCtyhcpdk1QcTccrmmEmqSqUBH0iFgv/view?usp=sharing</t>
  </si>
  <si>
    <t>https://docs.google.com/document/d/1vUOc1IkOea__gm2DfIVtiTLd1GurzdtqTGHQv5oVmS4/edit?usp=sharing</t>
  </si>
  <si>
    <t xml:space="preserve">Jennifer Kuei </t>
  </si>
  <si>
    <t>jekuei@ucsd.edu</t>
  </si>
  <si>
    <t>Trinity Truong</t>
  </si>
  <si>
    <t>trt005@ucsd.edu</t>
  </si>
  <si>
    <t>https://drive.google.com/file/d/1VqB0pRnCLAkFUTA4AqnhbtloVtUa2ND4/view?usp=sharing</t>
  </si>
  <si>
    <t>https://drive.google.com/file/d/18MeU99aSRtc5VHpCczxKRtwotAL5ChyU/view?usp=sharing</t>
  </si>
  <si>
    <t>https://drive.google.com/file/d/1n7phcHTH8hlygobc0ZH-WHFHmcb0tZgA/view?usp=sharing</t>
  </si>
  <si>
    <t>https://drive.google.com/file/d/1by61uivdH76mEJUJjhB5MgRRM1i8KyHb/view?usp=sharing</t>
  </si>
  <si>
    <t>https://drive.google.com/file/d/1laCsRUmJuCV9ygk1ngN0kRjhXwxzqe4e/view?usp=sharing</t>
  </si>
  <si>
    <t>https://drive.google.com/file/d/1CsDSjogO6_SvP7WVKDw-PdkSLb4prZ_n/view?usp=sharing</t>
  </si>
  <si>
    <t>https://drive.google.com/file/d/1Mv68d39xJyhUMY_vkBi6GMPvtNidWUd-/view?usp=sharing</t>
  </si>
  <si>
    <t>https://docs.google.com/document/d/1W6x4xyDV6BxsaafhppavrRyOaiB8L7KIWeEQHxOz-58/edit?usp=sharing</t>
  </si>
  <si>
    <t>https://drive.google.com/file/d/1zex57zMe-bzzSAXBEfbiVh6aOyr0FdE9/view?usp=sharing</t>
  </si>
  <si>
    <t xml:space="preserve">A17710940 </t>
  </si>
  <si>
    <t>https://drive.google.com/file/d/1KrOenmBpxeg0CTAeOI8T36AJJN3q0uO-/view</t>
  </si>
  <si>
    <t>https://drive.google.com/file/d/1fDK-ZE3n4I0TQx4oyGJLK6M22QRKC84f/view?usp=sharing</t>
  </si>
  <si>
    <t>https://jul187-creator.github.io/portfolio/resume/</t>
  </si>
  <si>
    <t>www.prabhjass.com</t>
  </si>
  <si>
    <t>https://drive.google.com/file/d/15XCXEjTPZWEL_gY04zjHZWHBK5hCA0Z7/view?usp=sharing</t>
  </si>
  <si>
    <t>https://docs.google.com/document/d/1IvFzzm2TR6WDVtKDdg1C1W_SdEzyYGByizlhjbmrHd0/edit?usp=sharing</t>
  </si>
  <si>
    <t>https://drive.google.com/file/d/1pTWqg6X_PgXCeiY0qQC0nRBUYUFg_OUz/view?usp=sharing</t>
  </si>
  <si>
    <t>Term Code</t>
  </si>
  <si>
    <t>Class Section ID</t>
  </si>
  <si>
    <t>Class Section Number</t>
  </si>
  <si>
    <t>Course Subject Code</t>
  </si>
  <si>
    <t>Course Number</t>
  </si>
  <si>
    <t>Class Section Enrollment Count</t>
  </si>
  <si>
    <t>TSS Student Number</t>
  </si>
  <si>
    <t>Legacy Student PID</t>
  </si>
  <si>
    <t>Student Full Name</t>
  </si>
  <si>
    <t>Campus Email Address</t>
  </si>
  <si>
    <t>Domain Allocated?</t>
  </si>
  <si>
    <t>FA26</t>
  </si>
  <si>
    <t>EL00000676</t>
  </si>
  <si>
    <t>001-000-LE</t>
  </si>
  <si>
    <t>DSC</t>
  </si>
  <si>
    <t>180A</t>
  </si>
  <si>
    <t>https://drive.google.com/file/d/1mp-CsbLz28TiYZeu1Qht1AFrX1Cfpg8D/view?usp=drivesdk</t>
  </si>
  <si>
    <t>200168926</t>
  </si>
  <si>
    <t>A17816211</t>
  </si>
  <si>
    <t>Cheng, Peiling</t>
  </si>
  <si>
    <t>pec021@ucsd.edu</t>
  </si>
  <si>
    <t>https://docs.google.com/document/d/1qtBNmS-2Qa0qVXSSS93y_lIP3QKLD1og/edit?usp=sharing&amp;ouid=112179210653539481119&amp;rtpof=true&amp;sd=true</t>
  </si>
  <si>
    <t>200176526</t>
  </si>
  <si>
    <t>A17744892</t>
  </si>
  <si>
    <t>Kimayong, Christian Lee Jerome</t>
  </si>
  <si>
    <t>ckimayong@ucsd.edu</t>
  </si>
  <si>
    <t>200044824</t>
  </si>
  <si>
    <t>A16367852</t>
  </si>
  <si>
    <t>Mei, Eric</t>
  </si>
  <si>
    <t>emei@ucsd.edu</t>
  </si>
  <si>
    <t>200159232</t>
  </si>
  <si>
    <t>A17875536</t>
  </si>
  <si>
    <t>Ricketts, Alyvia Veronika</t>
  </si>
  <si>
    <t>alvaughan@ucsd.edu</t>
  </si>
  <si>
    <t>https://www.overleaf.com/read/sgfjbcscfjtb#f68e74</t>
  </si>
  <si>
    <t>200121724</t>
  </si>
  <si>
    <t>A18111514</t>
  </si>
  <si>
    <t>Sakamoto, Rachel Waka</t>
  </si>
  <si>
    <t>rwsakamoto@ucsd.edu</t>
  </si>
  <si>
    <t>200063681</t>
  </si>
  <si>
    <t>A18432889</t>
  </si>
  <si>
    <t>Sun, Wanhan</t>
  </si>
  <si>
    <t>was002@ucsd.edu</t>
  </si>
  <si>
    <t>200153050</t>
  </si>
  <si>
    <t>Adames-Baena, Jeronimo Antonio</t>
  </si>
  <si>
    <t>200115045</t>
  </si>
  <si>
    <t>Agastyaraju, Kaushik Venkat</t>
  </si>
  <si>
    <t>https://drive.google.com/file/d/1iyduZ6SbZ5ZmyK0LpZuQZodnaLvt3-sb/view?usp=sharing</t>
  </si>
  <si>
    <t>200210305</t>
  </si>
  <si>
    <t>Ageel, Ahmad</t>
  </si>
  <si>
    <t>200086374</t>
  </si>
  <si>
    <t>Aggarwal, Pratham</t>
  </si>
  <si>
    <t>200148716</t>
  </si>
  <si>
    <t>Tiantian Judy Zheng Resume_final.pdf</t>
  </si>
  <si>
    <t>Agrawal, Aarav</t>
  </si>
  <si>
    <t>200161275</t>
  </si>
  <si>
    <t>Agunanne, Chidiebere</t>
  </si>
  <si>
    <t>200048597</t>
  </si>
  <si>
    <t>Ahmed, Ali</t>
  </si>
  <si>
    <t>https://drive.google.com/file/d/1a_fI7jS0knvClSMorfX7QNkiSQcZ_LNp/view?usp=sharing</t>
  </si>
  <si>
    <t>200121982</t>
  </si>
  <si>
    <t>Albao, Ty Jeffrey</t>
  </si>
  <si>
    <t>200162969</t>
  </si>
  <si>
    <t>Alrasheed, Turki Faisal</t>
  </si>
  <si>
    <t>https://drive.google.com/file/d/1SQx6w0PwEizFu_KKcrQXaVSu1wS_0OSI/view?usp=sharing</t>
  </si>
  <si>
    <t>200172920</t>
  </si>
  <si>
    <t>Alshakhshir, Waleed Khalid</t>
  </si>
  <si>
    <t>https://mihirnvad.github.io/portfolio/resume/</t>
  </si>
  <si>
    <t>200151899</t>
  </si>
  <si>
    <t>Annabathula, Anirudh</t>
  </si>
  <si>
    <t>https://frank-junran-yang.github.io/Personal-Page/</t>
  </si>
  <si>
    <t>200171055</t>
  </si>
  <si>
    <t>Arizabal, Kai</t>
  </si>
  <si>
    <t>karizabal@ucsd.edu</t>
  </si>
  <si>
    <t>https://www.overleaf.com/read/spzkbskjdhvn#27730d</t>
  </si>
  <si>
    <t>200150813</t>
  </si>
  <si>
    <t>Atienza, Ryan Conrad</t>
  </si>
  <si>
    <t>200161135</t>
  </si>
  <si>
    <t>Ayran, Edison Barrera</t>
  </si>
  <si>
    <t>https://drive.google.com/file/d/1iXSQgaSCNZz6_9rM6H9HxNh-SwUSc8ba/view?usp=sharing</t>
  </si>
  <si>
    <t>200055712</t>
  </si>
  <si>
    <t>Bai, Tony</t>
  </si>
  <si>
    <t>https://docs.google.com/document/d/17VDf1fGmkRS5HL7DX-SGfo319_vcuXHL/edit?usp=sharing&amp;ouid=112728075262023125026&amp;rtpof=true&amp;sd=true</t>
  </si>
  <si>
    <t>200052354</t>
  </si>
  <si>
    <t>Baidya, Anand</t>
  </si>
  <si>
    <t>200325185</t>
  </si>
  <si>
    <t>Balasai, Akshitaa</t>
  </si>
  <si>
    <t>https://drive.google.com/drive/folders/1eo_BSueTKYWp9HH4uJr5z3p0S9GO8cVl?usp=sharing</t>
  </si>
  <si>
    <t>200170388</t>
  </si>
  <si>
    <t>Bharambe, Chinmay Bharambe</t>
  </si>
  <si>
    <t>200121943</t>
  </si>
  <si>
    <t>Bhatnagar, Ansh Goyal</t>
  </si>
  <si>
    <t>https://drive.google.com/file/d/19EYHyQVG9Yl7gEzMGg-OJHRxyzVDVu9g/view?usp=sharing</t>
  </si>
  <si>
    <t>200030009</t>
  </si>
  <si>
    <t>Bhatnagar, Sweekrit</t>
  </si>
  <si>
    <t>200043640</t>
  </si>
  <si>
    <t>https://drive.google.com/file/d/11rr5qAeklImVwoKNalJAmJR6V1StScMl/view?usp=drive_link</t>
  </si>
  <si>
    <t>Bi, Haoshuo</t>
  </si>
  <si>
    <t>200168310</t>
  </si>
  <si>
    <t>A17812522</t>
  </si>
  <si>
    <t>Borjas-Perez, Gabriel</t>
  </si>
  <si>
    <t>200151008</t>
  </si>
  <si>
    <t>Budidharma, Daniel</t>
  </si>
  <si>
    <t>https://mmzhang7.github.io/resume</t>
  </si>
  <si>
    <t>200170241</t>
  </si>
  <si>
    <t>Butt, Hasaam Amir</t>
  </si>
  <si>
    <t>200051917</t>
  </si>
  <si>
    <t>Calderon, Joey Stephen</t>
  </si>
  <si>
    <t>https://drive.google.com/file/d/1SsPbn5bg6zD4CtRhGmL0AXODow5CMFBE/view?usp=share_link</t>
  </si>
  <si>
    <t>200114869</t>
  </si>
  <si>
    <t>Can, Brian</t>
  </si>
  <si>
    <t>200042304</t>
  </si>
  <si>
    <t>Chan, Janie</t>
  </si>
  <si>
    <t>200056638</t>
  </si>
  <si>
    <t>Chan, Nicholas Lee Xiang</t>
  </si>
  <si>
    <t>https://drive.google.com/file/d/1KmSIPRXvhezBot42mUFmv5W2bGzgx4MP/view?usp=sharing</t>
  </si>
  <si>
    <t>200174357</t>
  </si>
  <si>
    <t>Chand, Ritvik</t>
  </si>
  <si>
    <t>200114379</t>
  </si>
  <si>
    <t>Chang, Jennifer T</t>
  </si>
  <si>
    <t>https://drive.google.com/file/d/17zIW34TMC7vR3pLUtkrBdFySTSHyUJIb/view?usp=drivesdk</t>
  </si>
  <si>
    <t>200153660</t>
  </si>
  <si>
    <t>Chen, Andrew</t>
  </si>
  <si>
    <t>200146993</t>
  </si>
  <si>
    <t>Chen, Elvin L</t>
  </si>
  <si>
    <t>https://drive.google.com/drive/folders/1EjRAQkK8xXRAu-aFe4shiQ7Z9kWLsrb9?usp=sharing</t>
  </si>
  <si>
    <t>200153327</t>
  </si>
  <si>
    <t>Chen, Ivan Haowen</t>
  </si>
  <si>
    <t>200102244</t>
  </si>
  <si>
    <t>Chen, Kimi</t>
  </si>
  <si>
    <t>200096939</t>
  </si>
  <si>
    <t>Chen, Philip</t>
  </si>
  <si>
    <t>https://drive.google.com/file/d/1cWXe9nGSyQnOIbHLhwG2nkvCsNlKCmMs/view?usp=drive_link</t>
  </si>
  <si>
    <t>200051825</t>
  </si>
  <si>
    <t>Chen, Po-Hua</t>
  </si>
  <si>
    <t>200063852</t>
  </si>
  <si>
    <t>Chen, Ricki</t>
  </si>
  <si>
    <t>200044600</t>
  </si>
  <si>
    <t>Chen, Shujia Iris</t>
  </si>
  <si>
    <t>https://drive.google.com/file/d/1WMkCHHXrimzi4tXqW-VeCKt0LAIRZtgC/view?usp=sharing</t>
  </si>
  <si>
    <t>200121975</t>
  </si>
  <si>
    <t>Chen, Victor Jie</t>
  </si>
  <si>
    <t>200168433</t>
  </si>
  <si>
    <t>Cheng, Dylan</t>
  </si>
  <si>
    <t>200169744</t>
  </si>
  <si>
    <t>https://drive.google.com/file/d/1AHGMeIjkzuA58oqVLYrAlDGwYcD8tT7m/view?usp=sharing</t>
  </si>
  <si>
    <t>Cheng, Jeremy</t>
  </si>
  <si>
    <t>200167432</t>
  </si>
  <si>
    <t>Cheng, Shawn Jy</t>
  </si>
  <si>
    <t>https://drive.google.com/file/d/1IvZPJzw9gs_PC_sa9ponHwh2vR6KDEb4/view?usp=sharing</t>
  </si>
  <si>
    <t>200062432</t>
  </si>
  <si>
    <t>Cheng, Xiao</t>
  </si>
  <si>
    <t>200145232</t>
  </si>
  <si>
    <t>Chew, David</t>
  </si>
  <si>
    <t>200114952</t>
  </si>
  <si>
    <t>https://drive.google.com/file/d/1dYZ-mnyM5iHonKui9Wv0_G8PI0JfzlWs/view?usp=sharing</t>
  </si>
  <si>
    <t>Chinnam, Abhinav Felix</t>
  </si>
  <si>
    <t>200176653</t>
  </si>
  <si>
    <t>Cho, Jeremy</t>
  </si>
  <si>
    <t>200173672</t>
  </si>
  <si>
    <t>A17767097</t>
  </si>
  <si>
    <t>Cho, Vincent Eubin</t>
  </si>
  <si>
    <t>https://drive.google.com/file/d/142vi4QTSEG28bHF7nAcmzbCdtV7-jFlQ/view?usp=sharing</t>
  </si>
  <si>
    <t>200164928</t>
  </si>
  <si>
    <t>Chou, William</t>
  </si>
  <si>
    <t>https://docs.google.com/document/d/e/2PACX-1vQquPCtFJmtr8WI1wdG4ZzFjW2wcRVFtqgZyZfPGMnY_RINT3rUDa8SoPyK83acb1UvaA4ZBGNtF_2R/pub</t>
  </si>
  <si>
    <t>200144482</t>
  </si>
  <si>
    <t>Chow, Terran Wai</t>
  </si>
  <si>
    <t>200177460</t>
  </si>
  <si>
    <t>Chun, Mieko Jane</t>
  </si>
  <si>
    <t>200121778</t>
  </si>
  <si>
    <t>Chung, Audrey Clara</t>
  </si>
  <si>
    <t>https://drive.google.com/file/d/1-Pgf4N89cfgSonPWIaySWuZG5nzdCqP2/view?usp=sharing</t>
  </si>
  <si>
    <t>200170066</t>
  </si>
  <si>
    <t>Chung, Esther</t>
  </si>
  <si>
    <t>200090863</t>
  </si>
  <si>
    <t>Clougherty, Coleman</t>
  </si>
  <si>
    <t xml:space="preserve">Keith Gong </t>
  </si>
  <si>
    <t>https://xibahbah.github.io/porfolio/</t>
  </si>
  <si>
    <t>200334697</t>
  </si>
  <si>
    <t>Craver, Dylan</t>
  </si>
  <si>
    <t>200038743</t>
  </si>
  <si>
    <t>Cruz, Bryan Scott</t>
  </si>
  <si>
    <t>https://drive.google.com/file/d/1SlZzLIVf6GSn9BD0oPrld74sPb7jDrje/view?usp=sharing</t>
  </si>
  <si>
    <t>200164955</t>
  </si>
  <si>
    <t>A17831101</t>
  </si>
  <si>
    <t>De Haan, Willem Joris</t>
  </si>
  <si>
    <t>200161621</t>
  </si>
  <si>
    <t>Deleena, Deepal</t>
  </si>
  <si>
    <t>200020274</t>
  </si>
  <si>
    <t>Deshmukh, Juee</t>
  </si>
  <si>
    <t>https://drive.google.com/file/d/1piytRagYe-1g0XPSt2gdLRTr8c-6mdL2/view?usp=sharing</t>
  </si>
  <si>
    <t>200160765</t>
  </si>
  <si>
    <t>Dewan, Neil Toshiro</t>
  </si>
  <si>
    <t>200042236</t>
  </si>
  <si>
    <t>Dewangan, Raghav</t>
  </si>
  <si>
    <t>https://drive.google.com/file/d/1t3FMs0A7DzluxZj8u2d4L3K8SD9haXXJ/view?usp=sharing</t>
  </si>
  <si>
    <t>200016088</t>
  </si>
  <si>
    <t>Dial, Julia Renee</t>
  </si>
  <si>
    <t>200071579</t>
  </si>
  <si>
    <t>Ding, Jack</t>
  </si>
  <si>
    <t>https://drive.google.com/file/d/1KxJSh4JKjNlcs-RJnPVI0uAiTX3DQ8kT/view?usp=sharing</t>
  </si>
  <si>
    <t>200113461</t>
  </si>
  <si>
    <t>Doan, Jacob</t>
  </si>
  <si>
    <t>https://docs.google.com/document/d/1SfVKcWdBbIdEmdeXxRxLSlTuyjbTnzsvJdmgQeEq2YY/edit?usp=sharing</t>
  </si>
  <si>
    <t>200083669</t>
  </si>
  <si>
    <t>Dsouza, Dylan</t>
  </si>
  <si>
    <t>200167681</t>
  </si>
  <si>
    <t>Du, Shunyi</t>
  </si>
  <si>
    <t>s7du@ucsd.edu</t>
  </si>
  <si>
    <t>200043491</t>
  </si>
  <si>
    <t>https://drive.google.com/file/d/1Gq_48s8g8mKUIlyOOSAM3OXhAIblTyrH/view?usp=sharing</t>
  </si>
  <si>
    <t>Dulgerian, Raffi Paul</t>
  </si>
  <si>
    <t>200114329</t>
  </si>
  <si>
    <t>Duong, Kyle</t>
  </si>
  <si>
    <t>200164903</t>
  </si>
  <si>
    <t>Ellis, Annaly Kim</t>
  </si>
  <si>
    <t>https://drive.google.com/file/d/1pGqkKTstJ7F5IsPWuT5OpsoeC7gN-KY_/view?usp=sharing</t>
  </si>
  <si>
    <t>200178572</t>
  </si>
  <si>
    <t>Feng, Kate</t>
  </si>
  <si>
    <t>200161763</t>
  </si>
  <si>
    <t>Flores, Kyle</t>
  </si>
  <si>
    <t>200144021</t>
  </si>
  <si>
    <t>Frederick, Alex Starr</t>
  </si>
  <si>
    <t>https://drive.google.com/file/d/150LLcV4qILxlnnAC2qRzRNg4vhbmjQgt/view?usp=sharing</t>
  </si>
  <si>
    <t>200165233</t>
  </si>
  <si>
    <t>Gan, Eric Yx</t>
  </si>
  <si>
    <t>https://docs.google.com/document/d/1Qv0V0IBd6Pvmwq6lTy-57SJxTOr_lWzyqh5EfLXH_20/edit?usp=sharing</t>
  </si>
  <si>
    <t>200040486</t>
  </si>
  <si>
    <t>Garvais, Summer Douglas</t>
  </si>
  <si>
    <t>200336127</t>
  </si>
  <si>
    <t>Gautam, Adit</t>
  </si>
  <si>
    <t>https://docs.google.com/document/d/1syEU76p8mSAGeJdcSgTW7waejkO_eFCc-POypNiSxtA/edit?usp=sharing</t>
  </si>
  <si>
    <t>200045940</t>
  </si>
  <si>
    <t>Gautama, Rezon Hansel</t>
  </si>
  <si>
    <t>200219387</t>
  </si>
  <si>
    <t>Gheewala, Uzair</t>
  </si>
  <si>
    <t>https://drive.google.com/file/d/1XIXJDGKr-Ce-4XEKgyHBJh59sgKtYNoc/view?usp=sharing</t>
  </si>
  <si>
    <t>200092202</t>
  </si>
  <si>
    <t>Goelkel, Jaden Lee</t>
  </si>
  <si>
    <t>200143652</t>
  </si>
  <si>
    <t>Golder, Noah Yang</t>
  </si>
  <si>
    <t>https://drive.google.com/file/d/1UPiaf786l54BFQYIQftGJ3St_N07oYqU/view?usp=sharing</t>
  </si>
  <si>
    <t>200155064</t>
  </si>
  <si>
    <t>Gong, Chentao</t>
  </si>
  <si>
    <t>200057065</t>
  </si>
  <si>
    <t>https://drive.google.com/file/d/1lLNnG14iRQcfFQfQ5_CvBJ__iODsl3QT/view?usp=drive_link</t>
  </si>
  <si>
    <t>Gong, Keith</t>
  </si>
  <si>
    <t>200114424</t>
  </si>
  <si>
    <t>Gonzalez, Hannah Sky</t>
  </si>
  <si>
    <t>https://nicolastoon.github.io/portfolio/resume.pdf</t>
  </si>
  <si>
    <t>200168497</t>
  </si>
  <si>
    <t>Goriparthy, Abhi Sathvika</t>
  </si>
  <si>
    <t>200162658</t>
  </si>
  <si>
    <t>Gosain, Ishaan</t>
  </si>
  <si>
    <t>https://docs.google.com/document/d/14u3lJN5CgD9C7tg8XzZjn0-9fgrK7r76/edit?usp=sharing&amp;ouid=101067110465667176222&amp;rtpof=true&amp;sd=true</t>
  </si>
  <si>
    <t>200169161</t>
  </si>
  <si>
    <t>Gowan, Coltrane</t>
  </si>
  <si>
    <t>https://drive.google.com/file/d/1eXRFjNFGvauK_piJ4PgV-WBtD3s7_Z7u/view?usp=sharing</t>
  </si>
  <si>
    <t>200162586</t>
  </si>
  <si>
    <t>Gu, Jingwen</t>
  </si>
  <si>
    <t>https://drive.google.com/file/d/1h8amxaEymeZ80ooCI1jevX4bciidnJU-/view?usp=sharing</t>
  </si>
  <si>
    <t>200141710</t>
  </si>
  <si>
    <t>Guedekelian, Shant</t>
  </si>
  <si>
    <t>https://www.overleaf.com/read/hrfwvpcczrqh#e75fd0</t>
  </si>
  <si>
    <t>200147663</t>
  </si>
  <si>
    <t>Gupta, Aarshia</t>
  </si>
  <si>
    <t>https://docs.google.com/document/d/1QfDKrXXz_yVCLX2E2Z8jbX8ZRpqTRXi61o1GYfgx8j0/edit?usp=sharing</t>
  </si>
  <si>
    <t>200329816</t>
  </si>
  <si>
    <t>Gupta, Sana Vijay</t>
  </si>
  <si>
    <t>https://drive.google.com/file/d/1SURnelH6iU9FMGUf593P4d-Egrwju6wX/view?usp=drive_link</t>
  </si>
  <si>
    <t>https://docs.google.com/document/d/1o81vmwQE84wI5ojzMtCnLSg6kN0zL_1i/edit?usp=sharing&amp;ouid=100953120088986954155&amp;rtpof=true&amp;sd=true</t>
  </si>
  <si>
    <t>https://docs.google.com/document/d/1EcrNj1EMwHvgXnk2Dd-jYfmt5L3L-DoHyL1edV--uwo/edit?usp=sharing</t>
  </si>
  <si>
    <t>Domain allocated?</t>
  </si>
  <si>
    <t>https://lucien1010.github.io/portfolio/resume/</t>
  </si>
  <si>
    <t>200052820</t>
  </si>
  <si>
    <t>Haing, Susana Quach</t>
  </si>
  <si>
    <t>https://sunnychingsun.github.io/files/Sunny_Sun_Resume.pdf</t>
  </si>
  <si>
    <t>200208439</t>
  </si>
  <si>
    <t>Ham, Abdulrahim Mach</t>
  </si>
  <si>
    <t>200166599</t>
  </si>
  <si>
    <t>Hannigan, Katie Elizabeth</t>
  </si>
  <si>
    <t>automate.sa</t>
  </si>
  <si>
    <t>200162425</t>
  </si>
  <si>
    <t>Hasim, Varick Janiro</t>
  </si>
  <si>
    <t>200114416</t>
  </si>
  <si>
    <t>Hong, Michelle</t>
  </si>
  <si>
    <t>First and Last Name (Example: Umesh Bellur)</t>
  </si>
  <si>
    <t xml:space="preserve">A link to a resume that gives information about skills, projects etc.  Although this is optional, we strongly encourage you to fill this out. </t>
  </si>
  <si>
    <t>GPA (3.62, 4.0, etc.)</t>
  </si>
  <si>
    <t>200046341</t>
  </si>
  <si>
    <t>Hsiao, Lucien Mattis</t>
  </si>
  <si>
    <t>200171563</t>
  </si>
  <si>
    <t>Huang, April Rou</t>
  </si>
  <si>
    <t>200044917</t>
  </si>
  <si>
    <t>Huang, Daniel</t>
  </si>
  <si>
    <t>200172678</t>
  </si>
  <si>
    <t>Huang, Jayden Z</t>
  </si>
  <si>
    <t>200327616</t>
  </si>
  <si>
    <t>Jain, Aarushi</t>
  </si>
  <si>
    <t>200177061</t>
  </si>
  <si>
    <t>Jeng, Cedric J</t>
  </si>
  <si>
    <t>200030722</t>
  </si>
  <si>
    <t>Jing, Brian</t>
  </si>
  <si>
    <t>200173174</t>
  </si>
  <si>
    <t>Kakarla, Aditya Sairam</t>
  </si>
  <si>
    <t>200052464</t>
  </si>
  <si>
    <t>Karim, Khaleel</t>
  </si>
  <si>
    <t>200177014</t>
  </si>
  <si>
    <t>Karve, Vaidehi Amit</t>
  </si>
  <si>
    <t>200047647</t>
  </si>
  <si>
    <t>Kavanal, Jacob Sunil</t>
  </si>
  <si>
    <t>200115159</t>
  </si>
  <si>
    <t>Kim, Andrew Kwangmin</t>
  </si>
  <si>
    <t>200151398</t>
  </si>
  <si>
    <t>Kim, Minyoung</t>
  </si>
  <si>
    <t>200174489</t>
  </si>
  <si>
    <t>Kishore, Mythri Diya</t>
  </si>
  <si>
    <t>200121992</t>
  </si>
  <si>
    <t>Kong, Adrian</t>
  </si>
  <si>
    <t>200144456</t>
  </si>
  <si>
    <t>Kuang, Derek</t>
  </si>
  <si>
    <t>200153039</t>
  </si>
  <si>
    <t>A17915851</t>
  </si>
  <si>
    <t>Kuei, Jennifer</t>
  </si>
  <si>
    <t>200167419</t>
  </si>
  <si>
    <t>Kumagai, Christian</t>
  </si>
  <si>
    <t>200137144</t>
  </si>
  <si>
    <t>Kumarappan, Ganesh</t>
  </si>
  <si>
    <t>200121710</t>
  </si>
  <si>
    <t>Kuo, Alexander Chiakai</t>
  </si>
  <si>
    <t>200162375</t>
  </si>
  <si>
    <t>Kuo, Yi-Hsuan</t>
  </si>
  <si>
    <t>200167956</t>
  </si>
  <si>
    <t>Lai, Aiden</t>
  </si>
  <si>
    <t>200166124</t>
  </si>
  <si>
    <t>Lam, Ethan Minh</t>
  </si>
  <si>
    <t>200171712</t>
  </si>
  <si>
    <t>Lansangan, Viela Sophia Lacuin</t>
  </si>
  <si>
    <t>200164450</t>
  </si>
  <si>
    <t>Lau, Vanessa Michelle</t>
  </si>
  <si>
    <t>200215713</t>
  </si>
  <si>
    <t>Le, Faline</t>
  </si>
  <si>
    <t>200058279</t>
  </si>
  <si>
    <t>Lee, Chang-Yu</t>
  </si>
  <si>
    <t>200168747</t>
  </si>
  <si>
    <t>Lee, Claire Yewon</t>
  </si>
  <si>
    <t>200044476</t>
  </si>
  <si>
    <t>Lee, Justin Albert</t>
  </si>
  <si>
    <t>200052102</t>
  </si>
  <si>
    <t>Lee, Kang Fu</t>
  </si>
  <si>
    <t>200115139</t>
  </si>
  <si>
    <t>Lee, Linus</t>
  </si>
  <si>
    <t>200152279</t>
  </si>
  <si>
    <t>Lee, Ryan Parker</t>
  </si>
  <si>
    <t>200162650</t>
  </si>
  <si>
    <t>Leo, Tristan</t>
  </si>
  <si>
    <t>200020279</t>
  </si>
  <si>
    <t>Li, Jayden Bai</t>
  </si>
  <si>
    <t>200043211</t>
  </si>
  <si>
    <t>Li, Junle</t>
  </si>
  <si>
    <t>200044338</t>
  </si>
  <si>
    <t>Li, Keilani</t>
  </si>
  <si>
    <t>200172335</t>
  </si>
  <si>
    <t>Lin, Cheng-I</t>
  </si>
  <si>
    <t>200175838</t>
  </si>
  <si>
    <t>A17740682</t>
  </si>
  <si>
    <t>Lin, Po-Chen</t>
  </si>
  <si>
    <t>p5lin@ucsd.edu</t>
  </si>
  <si>
    <t>200178626</t>
  </si>
  <si>
    <t>Lin, Vivian</t>
  </si>
  <si>
    <t>200056917</t>
  </si>
  <si>
    <t>Lin, Yutao</t>
  </si>
  <si>
    <t>200048534</t>
  </si>
  <si>
    <t>Lindberg, Ryan</t>
  </si>
  <si>
    <t>200121893</t>
  </si>
  <si>
    <t>Lingampalli, Uday Pavan</t>
  </si>
  <si>
    <t>200097715</t>
  </si>
  <si>
    <t>Liu, Brian Zhou</t>
  </si>
  <si>
    <t>200161391</t>
  </si>
  <si>
    <t>Liu, Jason Botian</t>
  </si>
  <si>
    <t>Po-Chen Lin</t>
  </si>
  <si>
    <t>200121806</t>
  </si>
  <si>
    <t>Liu, Ziyan</t>
  </si>
  <si>
    <t>200179615</t>
  </si>
  <si>
    <t>Loo, Zachary</t>
  </si>
  <si>
    <t>Ananya Anand Wasker</t>
  </si>
  <si>
    <t>awasker@ucsd.edu</t>
  </si>
  <si>
    <t>200024521</t>
  </si>
  <si>
    <t>Louie, Dylan Paul</t>
  </si>
  <si>
    <t>200114560</t>
  </si>
  <si>
    <t>Luo, Michael</t>
  </si>
  <si>
    <t>200034223</t>
  </si>
  <si>
    <t>Maayah, Gabriel Fareez</t>
  </si>
  <si>
    <t>200180794</t>
  </si>
  <si>
    <t>Maddi, Lakshmi Manasa</t>
  </si>
  <si>
    <t>200334458</t>
  </si>
  <si>
    <t>Maiti, Prisha</t>
  </si>
  <si>
    <t>200156821</t>
  </si>
  <si>
    <t>Makhija, Jiya</t>
  </si>
  <si>
    <t>200097926</t>
  </si>
  <si>
    <t>Malott, Leo</t>
  </si>
  <si>
    <t>200155307</t>
  </si>
  <si>
    <t>Mani, Tejas</t>
  </si>
  <si>
    <t>200170214</t>
  </si>
  <si>
    <t>Manjrekar, Jay</t>
  </si>
  <si>
    <t>200121660</t>
  </si>
  <si>
    <t>Manne, Preethi</t>
  </si>
  <si>
    <t>200184541</t>
  </si>
  <si>
    <t>Mansfield, Lyn Yujin</t>
  </si>
  <si>
    <t>200166617</t>
  </si>
  <si>
    <t>Mao, Ruofei</t>
  </si>
  <si>
    <t>200160508</t>
  </si>
  <si>
    <t>McFadden, Owen William</t>
  </si>
  <si>
    <t>200180289</t>
  </si>
  <si>
    <t>Mehta, Shiv Miten</t>
  </si>
  <si>
    <t>200143017</t>
  </si>
  <si>
    <t>Meredith, Audrey Grace</t>
  </si>
  <si>
    <t>200085459</t>
  </si>
  <si>
    <t>Miao, Jocelyn Yi-An</t>
  </si>
  <si>
    <t>200141915</t>
  </si>
  <si>
    <t>Mir, Yaqub Kashif</t>
  </si>
  <si>
    <t>200110513</t>
  </si>
  <si>
    <t>Mishra, Nimisha</t>
  </si>
  <si>
    <t>200184100</t>
  </si>
  <si>
    <t>Mittal, Ketan</t>
  </si>
  <si>
    <t>200154225</t>
  </si>
  <si>
    <t>Moc, Katie</t>
  </si>
  <si>
    <t>200168381</t>
  </si>
  <si>
    <t>Muthu, Aathi J</t>
  </si>
  <si>
    <t>200148787</t>
  </si>
  <si>
    <t>Naineni, Nayana</t>
  </si>
  <si>
    <t>200328539</t>
  </si>
  <si>
    <t>Nair, Nithya</t>
  </si>
  <si>
    <t>200083199</t>
  </si>
  <si>
    <t>Nath, Aryan Sai</t>
  </si>
  <si>
    <t>200162254</t>
  </si>
  <si>
    <t>Ndubisi, Munachimso Stephanie</t>
  </si>
  <si>
    <t>200032014</t>
  </si>
  <si>
    <t>Nguyen, Bryan Hoang</t>
  </si>
  <si>
    <t>200162298</t>
  </si>
  <si>
    <t>Nguyen, Hieu Viet Minh</t>
  </si>
  <si>
    <t>200147335</t>
  </si>
  <si>
    <t>Nguyen, Royce</t>
  </si>
  <si>
    <t>200146511</t>
  </si>
  <si>
    <t>Nissen, Margot</t>
  </si>
  <si>
    <t>200157691</t>
  </si>
  <si>
    <t>Omoma-Edosa, Borngreat Osamudiamen</t>
  </si>
  <si>
    <t>200145085</t>
  </si>
  <si>
    <t>Ouyang, Sam John</t>
  </si>
  <si>
    <t>200148155</t>
  </si>
  <si>
    <t>Paidi, Vishal Rana</t>
  </si>
  <si>
    <t>200114926</t>
  </si>
  <si>
    <t>200184381</t>
  </si>
  <si>
    <t>Feng, Vanessa</t>
  </si>
  <si>
    <t>Panse, Ved</t>
  </si>
  <si>
    <t>200079461</t>
  </si>
  <si>
    <t>Park, Taejun</t>
  </si>
  <si>
    <t>200149978</t>
  </si>
  <si>
    <t>Parra, Jared</t>
  </si>
  <si>
    <t>200028239</t>
  </si>
  <si>
    <t>Patel, Kavyan Pranav</t>
  </si>
  <si>
    <t>200114344</t>
  </si>
  <si>
    <t>Patnaik, Rakshan</t>
  </si>
  <si>
    <t>200022960</t>
  </si>
  <si>
    <t>Patra, Arushi</t>
  </si>
  <si>
    <t>200052215</t>
  </si>
  <si>
    <t>Peng, Kangxin</t>
  </si>
  <si>
    <t>200293399</t>
  </si>
  <si>
    <t>Petersen, Michael Andrew</t>
  </si>
  <si>
    <t>200179741</t>
  </si>
  <si>
    <t>Pham, Jordi</t>
  </si>
  <si>
    <t>200112544</t>
  </si>
  <si>
    <t>Phan, Daniel</t>
  </si>
  <si>
    <t>200165952</t>
  </si>
  <si>
    <t>Potluri, Amrutha</t>
  </si>
  <si>
    <t>200184024</t>
  </si>
  <si>
    <t>Prakash, Mohak Akul</t>
  </si>
  <si>
    <t>200088227</t>
  </si>
  <si>
    <t>Pudukottai Krishnaraj, Madhav</t>
  </si>
  <si>
    <t>200114647</t>
  </si>
  <si>
    <t>Puthenparambil, Hansel Antony</t>
  </si>
  <si>
    <t>200143761</t>
  </si>
  <si>
    <t>Qiao, Acelynn</t>
  </si>
  <si>
    <t>200121500</t>
  </si>
  <si>
    <t>Qin, Jiahe</t>
  </si>
  <si>
    <t>200030407</t>
  </si>
  <si>
    <t>Rai, Sumedha</t>
  </si>
  <si>
    <t>200166132</t>
  </si>
  <si>
    <t>Rajaram, Pranav</t>
  </si>
  <si>
    <t>200157112</t>
  </si>
  <si>
    <t>Ranadive, Saanvi</t>
  </si>
  <si>
    <t>200143132</t>
  </si>
  <si>
    <t>Rangan, Sahana</t>
  </si>
  <si>
    <t>200164826</t>
  </si>
  <si>
    <t>Rao, Simone Shashi</t>
  </si>
  <si>
    <t>200148881</t>
  </si>
  <si>
    <t>Raval, Rohan Nirav</t>
  </si>
  <si>
    <t>200168478</t>
  </si>
  <si>
    <t>Respicio, Roman Zachary</t>
  </si>
  <si>
    <t>200137537</t>
  </si>
  <si>
    <t>Gunawan, Kenji</t>
  </si>
  <si>
    <t>200040106</t>
  </si>
  <si>
    <t>Rincon, Janice</t>
  </si>
  <si>
    <t>200170572</t>
  </si>
  <si>
    <t>Roy, Issac</t>
  </si>
  <si>
    <t>200158463</t>
  </si>
  <si>
    <t>Saez, Rocio Fernanda</t>
  </si>
  <si>
    <t>200170378</t>
  </si>
  <si>
    <t>Sahjwani, Vani Rajesh</t>
  </si>
  <si>
    <t>200046774</t>
  </si>
  <si>
    <t>Sandoval, Joey Ramiro</t>
  </si>
  <si>
    <t>200063349</t>
  </si>
  <si>
    <t>Sankaran, Karthik</t>
  </si>
  <si>
    <t>200166275</t>
  </si>
  <si>
    <t>Sannakkayala, Zubin</t>
  </si>
  <si>
    <t>200035600</t>
  </si>
  <si>
    <t>Sarvepally, Siddhartha Shanmukh</t>
  </si>
  <si>
    <t>200031205</t>
  </si>
  <si>
    <t>Sathaye, Siya</t>
  </si>
  <si>
    <t>200042143</t>
  </si>
  <si>
    <t>Scott, Scarlett Feng</t>
  </si>
  <si>
    <t>200162446</t>
  </si>
  <si>
    <t>Sehgal, Dhruv</t>
  </si>
  <si>
    <t>200151385</t>
  </si>
  <si>
    <t>Selsor, Genevieve Eliza</t>
  </si>
  <si>
    <t>200144751</t>
  </si>
  <si>
    <t>Setty, Surya A</t>
  </si>
  <si>
    <t>200183188</t>
  </si>
  <si>
    <t>Shi, Viki</t>
  </si>
  <si>
    <t>200040764</t>
  </si>
  <si>
    <t>Shi, Yidong</t>
  </si>
  <si>
    <t>200038928</t>
  </si>
  <si>
    <t>Singh, Prabhjas</t>
  </si>
  <si>
    <t>200034006</t>
  </si>
  <si>
    <t>Singh, Sonali Shyma</t>
  </si>
  <si>
    <t>200168658</t>
  </si>
  <si>
    <t>Sissel, Maya Chamblis</t>
  </si>
  <si>
    <t>200050938</t>
  </si>
  <si>
    <t>So, Casey Julianne De Limios</t>
  </si>
  <si>
    <t>200217277</t>
  </si>
  <si>
    <t>Somani, Vanshika</t>
  </si>
  <si>
    <t>200038002</t>
  </si>
  <si>
    <t>Su, Terry</t>
  </si>
  <si>
    <t>200147981</t>
  </si>
  <si>
    <t>Sun, Sunny</t>
  </si>
  <si>
    <t>200114518</t>
  </si>
  <si>
    <t>Takamoto, Alexander</t>
  </si>
  <si>
    <t>200163243</t>
  </si>
  <si>
    <t>Tan, Clayton Hammen</t>
  </si>
  <si>
    <t>200146341</t>
  </si>
  <si>
    <t>Tang, Ryan</t>
  </si>
  <si>
    <t>200044447</t>
  </si>
  <si>
    <t>Tang, Salina</t>
  </si>
  <si>
    <t>200049873</t>
  </si>
  <si>
    <t>Tedja, Gabriel Daniel</t>
  </si>
  <si>
    <t>200147588</t>
  </si>
  <si>
    <t>Tedjarutjianta, Flavia Gabriella</t>
  </si>
  <si>
    <t>200035976</t>
  </si>
  <si>
    <t>Tey, Sharon</t>
  </si>
  <si>
    <t>200153616</t>
  </si>
  <si>
    <t>Thillainathan, Yadushan</t>
  </si>
  <si>
    <t>200175198</t>
  </si>
  <si>
    <t>Tibdewal, Ishaan</t>
  </si>
  <si>
    <t>200159728</t>
  </si>
  <si>
    <t>Tong, Edwards S</t>
  </si>
  <si>
    <t>200174061</t>
  </si>
  <si>
    <t>Tong, Erika Lee</t>
  </si>
  <si>
    <t>200114883</t>
  </si>
  <si>
    <t>Toon, Nicolas</t>
  </si>
  <si>
    <t>200174091</t>
  </si>
  <si>
    <t>Trainor, Grace</t>
  </si>
  <si>
    <t>200056297</t>
  </si>
  <si>
    <t>Tran, Colin Thien</t>
  </si>
  <si>
    <t>200036038</t>
  </si>
  <si>
    <t>Tran, Lillian N</t>
  </si>
  <si>
    <t>200106085</t>
  </si>
  <si>
    <t>Truong, Calvin</t>
  </si>
  <si>
    <t>200226782</t>
  </si>
  <si>
    <t>A17348203</t>
  </si>
  <si>
    <t>Truong, Trinity</t>
  </si>
  <si>
    <t>200147725</t>
  </si>
  <si>
    <t>Uppal, Akshay</t>
  </si>
  <si>
    <t>200042515</t>
  </si>
  <si>
    <t>Vad, Mihir Narendra</t>
  </si>
  <si>
    <t>200053944</t>
  </si>
  <si>
    <t>Van Horn, Brandon Peter</t>
  </si>
  <si>
    <t>200177656</t>
  </si>
  <si>
    <t>Vardhaan, Vedant</t>
  </si>
  <si>
    <t>200154819</t>
  </si>
  <si>
    <t>Vaught, Matthew Joseph</t>
  </si>
  <si>
    <t>200142705</t>
  </si>
  <si>
    <t>Ventura, Keanu Michael</t>
  </si>
  <si>
    <t>200160647</t>
  </si>
  <si>
    <t>Verma, Mehul</t>
  </si>
  <si>
    <t>200161521</t>
  </si>
  <si>
    <t>Vidhate, Atherv</t>
  </si>
  <si>
    <t>200048020</t>
  </si>
  <si>
    <t>Viray, Matthew Justine Marcella</t>
  </si>
  <si>
    <t>200156360</t>
  </si>
  <si>
    <t>Vo, Dylan Dang</t>
  </si>
  <si>
    <t>200156279</t>
  </si>
  <si>
    <t>Vo, Jaden Phuc</t>
  </si>
  <si>
    <t>200121532</t>
  </si>
  <si>
    <t>Vo, Sophia</t>
  </si>
  <si>
    <t>200168795</t>
  </si>
  <si>
    <t>Volskaya, Palina</t>
  </si>
  <si>
    <t>200046210</t>
  </si>
  <si>
    <t>Wai, Su Love</t>
  </si>
  <si>
    <t>200179846</t>
  </si>
  <si>
    <t>Wan, Samson</t>
  </si>
  <si>
    <t>200034614</t>
  </si>
  <si>
    <t>Wang, Alisha</t>
  </si>
  <si>
    <t>200114502</t>
  </si>
  <si>
    <t>Wang, Claire</t>
  </si>
  <si>
    <t>200104249</t>
  </si>
  <si>
    <t>Wang, Jared Jiachen</t>
  </si>
  <si>
    <t>200114433</t>
  </si>
  <si>
    <t>Wang, Yonghao</t>
  </si>
  <si>
    <t>200156689</t>
  </si>
  <si>
    <t>A17857172</t>
  </si>
  <si>
    <t>Wasker, Ananya Anand</t>
  </si>
  <si>
    <t>200146505</t>
  </si>
  <si>
    <t>Wiemelt, Leo William</t>
  </si>
  <si>
    <t>200147607</t>
  </si>
  <si>
    <t>Wikarsa, Alyxandrea Nadine</t>
  </si>
  <si>
    <t>200141358</t>
  </si>
  <si>
    <t>Wong, Amelia Faye</t>
  </si>
  <si>
    <t>amw013@ucsd.edu</t>
  </si>
  <si>
    <t>200165827</t>
  </si>
  <si>
    <t>Liu, Henry Liang-Hong</t>
  </si>
  <si>
    <t>200115775</t>
  </si>
  <si>
    <t>Wu, Gavin</t>
  </si>
  <si>
    <t>200053152</t>
  </si>
  <si>
    <t>Xia, Alan</t>
  </si>
  <si>
    <t>200114394</t>
  </si>
  <si>
    <t>Xiang, Cheryl</t>
  </si>
  <si>
    <t>200160710</t>
  </si>
  <si>
    <t>A17844311</t>
  </si>
  <si>
    <t>Xu, Jenny</t>
  </si>
  <si>
    <t>200116919</t>
  </si>
  <si>
    <t>Xu, Ziling</t>
  </si>
  <si>
    <t>200042786</t>
  </si>
  <si>
    <t>Yang, Edmond Jy</t>
  </si>
  <si>
    <t>200137640</t>
  </si>
  <si>
    <t>Yang, Junran</t>
  </si>
  <si>
    <t>200051055</t>
  </si>
  <si>
    <t>Yang, Wanchen</t>
  </si>
  <si>
    <t>200114620</t>
  </si>
  <si>
    <t>Yepez, Jonathan</t>
  </si>
  <si>
    <t>200134986</t>
  </si>
  <si>
    <t>Yie, Huiyu</t>
  </si>
  <si>
    <t>200047950</t>
  </si>
  <si>
    <t>Yim, Jonathan G</t>
  </si>
  <si>
    <t>200114387</t>
  </si>
  <si>
    <t>Yip, Emily</t>
  </si>
  <si>
    <t>200058201</t>
  </si>
  <si>
    <t>Youn, Andrew Suhjin</t>
  </si>
  <si>
    <t>200040087</t>
  </si>
  <si>
    <t>Zahir, Sahar</t>
  </si>
  <si>
    <t>200173000</t>
  </si>
  <si>
    <t>Zambani, Karina</t>
  </si>
  <si>
    <t>200146020</t>
  </si>
  <si>
    <t>Zhang, Edward Huan-Lin</t>
  </si>
  <si>
    <t>200162955</t>
  </si>
  <si>
    <t>Zhang, Haowen</t>
  </si>
  <si>
    <t>200159113</t>
  </si>
  <si>
    <t>Zhang, Kevin</t>
  </si>
  <si>
    <t>200141759</t>
  </si>
  <si>
    <t>Zhang, Maggie</t>
  </si>
  <si>
    <t>200042229</t>
  </si>
  <si>
    <t>Zhang, Qi</t>
  </si>
  <si>
    <t>200040133</t>
  </si>
  <si>
    <t>Zhang, Terence</t>
  </si>
  <si>
    <t>200046424</t>
  </si>
  <si>
    <t>Zhang, Zhixiang</t>
  </si>
  <si>
    <t>200053991</t>
  </si>
  <si>
    <t>Zhang, Zihan</t>
  </si>
  <si>
    <t>200024714</t>
  </si>
  <si>
    <t>Zhang, Zonglin</t>
  </si>
  <si>
    <t>200074286</t>
  </si>
  <si>
    <t>Zhao, Kyle Chen-Kai</t>
  </si>
  <si>
    <t>200049942</t>
  </si>
  <si>
    <t>Zhao, Liuxuhong</t>
  </si>
  <si>
    <t>200158544</t>
  </si>
  <si>
    <t>Zheng, Tiantian</t>
  </si>
  <si>
    <t>200158827</t>
  </si>
  <si>
    <t>Zhou, Bobby</t>
  </si>
  <si>
    <t>200114599</t>
  </si>
  <si>
    <t>Zhu, Kevin Yi</t>
  </si>
  <si>
    <t>200162846</t>
  </si>
  <si>
    <t>Zhuang, Mingrui</t>
  </si>
  <si>
    <t>200147707</t>
  </si>
  <si>
    <t>Zou, Fiona</t>
  </si>
  <si>
    <t>200048838</t>
  </si>
  <si>
    <t>nguyen, tori</t>
  </si>
  <si>
    <t>EL00000677</t>
  </si>
  <si>
    <t>001-001-DI</t>
  </si>
  <si>
    <t>200144405</t>
  </si>
  <si>
    <t>Ouyang, Steven</t>
  </si>
  <si>
    <t>200168572</t>
  </si>
  <si>
    <t>Shah, Vishudh</t>
  </si>
  <si>
    <t>EL00000678</t>
  </si>
  <si>
    <t>001-001-LA</t>
  </si>
  <si>
    <t>200117610</t>
  </si>
  <si>
    <t>Zhang, Evelyn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</si>
</sst>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7">
    <font>
      <sz val="10.0"/>
      <color rgb="FF000000"/>
      <name val="Arial"/>
      <scheme val="minor"/>
    </font>
    <font>
      <b/>
      <sz val="11.0"/>
      <color rgb="FFFFFFFF"/>
      <name val="Calibri"/>
    </font>
    <font>
      <color theme="1"/>
      <name val="Arial"/>
    </font>
    <font>
      <sz val="10.0"/>
      <color rgb="FFFFFFFF"/>
      <name val="Arial"/>
      <scheme val="minor"/>
    </font>
    <font>
      <b/>
      <color rgb="FFFFFFFF"/>
      <name val="Arial"/>
      <scheme val="minor"/>
    </font>
    <font>
      <color rgb="FFFFFFFF"/>
      <name val="Arial"/>
      <scheme val="minor"/>
    </font>
    <font>
      <sz val="11.0"/>
      <color rgb="FF000000"/>
      <name val="Calibri"/>
    </font>
    <font>
      <color theme="1"/>
      <name val="Arial"/>
      <scheme val="minor"/>
    </font>
    <font>
      <sz val="10.0"/>
      <color theme="1"/>
      <name val="Arial"/>
      <scheme val="minor"/>
    </font>
    <font>
      <b/>
      <sz val="14.0"/>
      <color rgb="FF0000FF"/>
      <name val="Arial"/>
      <scheme val="minor"/>
    </font>
    <font>
      <b/>
      <sz val="12.0"/>
      <color rgb="FF0000FF"/>
      <name val="Arial"/>
      <scheme val="minor"/>
    </font>
    <font>
      <sz val="12.0"/>
      <color rgb="FF000000"/>
      <name val="Arial"/>
      <scheme val="minor"/>
    </font>
    <font>
      <u/>
      <color rgb="FF0000FF"/>
    </font>
    <font>
      <b/>
      <sz val="14.0"/>
      <color theme="1"/>
      <name val="Arial"/>
      <scheme val="minor"/>
    </font>
    <font>
      <sz val="12.0"/>
      <color theme="1"/>
      <name val="Arial"/>
      <scheme val="minor"/>
    </font>
    <font>
      <sz val="11.0"/>
      <color rgb="FF1D1C1D"/>
      <name val="Arial"/>
    </font>
    <font>
      <sz val="11.0"/>
      <color rgb="FF1D1C1D"/>
      <name val="Slack-Lato"/>
    </font>
    <font>
      <sz val="12.0"/>
      <color rgb="FF000000"/>
      <name val="Arial"/>
    </font>
    <font>
      <color rgb="FF434343"/>
      <name val="Roboto"/>
    </font>
    <font>
      <sz val="10.0"/>
      <color rgb="FF212121"/>
      <name val="Arial"/>
    </font>
    <font>
      <u/>
      <color rgb="FF0000FF"/>
    </font>
    <font>
      <sz val="10.0"/>
      <color rgb="FF131E29"/>
      <name val="Arial"/>
    </font>
    <font>
      <sz val="12.0"/>
      <color rgb="FF000000"/>
      <name val="Aptos"/>
    </font>
    <font>
      <u/>
      <color rgb="FF434343"/>
    </font>
    <font>
      <color rgb="FFFFFFFF"/>
      <name val="Roboto"/>
    </font>
    <font>
      <sz val="24.0"/>
      <color rgb="FFFF0000"/>
      <name val="Arial"/>
      <scheme val="minor"/>
    </font>
    <font/>
    <font>
      <sz val="18.0"/>
      <color rgb="FF980000"/>
      <name val="Arial"/>
      <scheme val="minor"/>
    </font>
    <font>
      <sz val="16.0"/>
      <color rgb="FF980000"/>
      <name val="Arial"/>
      <scheme val="minor"/>
    </font>
    <font>
      <sz val="22.0"/>
      <color rgb="FF980000"/>
      <name val="Arial"/>
      <scheme val="minor"/>
    </font>
    <font>
      <sz val="12.0"/>
      <color rgb="FF0000FF"/>
      <name val="Arial"/>
      <scheme val="minor"/>
    </font>
    <font>
      <b/>
      <sz val="12.0"/>
      <color rgb="FF990000"/>
      <name val="Arial"/>
      <scheme val="minor"/>
    </font>
    <font>
      <sz val="12.0"/>
      <color rgb="FF9900FF"/>
      <name val="Arial"/>
      <scheme val="minor"/>
    </font>
    <font>
      <b/>
      <sz val="12.0"/>
      <color rgb="FF000000"/>
      <name val="Arial"/>
      <scheme val="minor"/>
    </font>
    <font>
      <sz val="11.0"/>
      <color theme="1"/>
      <name val="Calibri"/>
    </font>
    <font>
      <sz val="11.0"/>
      <color theme="1"/>
      <name val="Arial"/>
    </font>
    <font>
      <sz val="12.0"/>
      <color theme="1"/>
      <name val="Aptos"/>
    </font>
    <font>
      <sz val="11.0"/>
      <color rgb="FF556B82"/>
      <name val="72"/>
    </font>
    <font>
      <sz val="11.0"/>
      <color rgb="FF556B82"/>
      <name val="Arial"/>
    </font>
    <font>
      <sz val="11.0"/>
      <color rgb="FF212121"/>
      <name val="Arial"/>
    </font>
    <font>
      <sz val="11.0"/>
      <color rgb="FF000000"/>
      <name val="Arial"/>
    </font>
    <font>
      <sz val="11.0"/>
      <color rgb="FF131E29"/>
      <name val="Arial"/>
    </font>
    <font>
      <sz val="11.0"/>
      <color theme="1"/>
      <name val="Arial"/>
      <scheme val="minor"/>
    </font>
    <font>
      <b/>
      <sz val="10.0"/>
      <color rgb="FF343334"/>
      <name val="IBM Plex Sans"/>
    </font>
    <font>
      <sz val="10.0"/>
      <color rgb="FF343334"/>
      <name val="IBM Plex Sans"/>
    </font>
    <font>
      <sz val="11.0"/>
      <color rgb="FF556B82"/>
      <name val="&quot;72&quot;"/>
    </font>
    <font>
      <sz val="10.0"/>
      <color rgb="FF000000"/>
      <name val="Arial"/>
    </font>
  </fonts>
  <fills count="11">
    <fill>
      <patternFill patternType="none"/>
    </fill>
    <fill>
      <patternFill patternType="lightGray"/>
    </fill>
    <fill>
      <patternFill patternType="solid">
        <fgColor rgb="FF1F4E78"/>
        <bgColor rgb="FF1F4E78"/>
      </patternFill>
    </fill>
    <fill>
      <patternFill patternType="solid">
        <fgColor rgb="FF556B82"/>
        <bgColor rgb="FF556B82"/>
      </patternFill>
    </fill>
    <fill>
      <patternFill patternType="solid">
        <fgColor rgb="FFFFFFFF"/>
        <bgColor rgb="FFFFFFFF"/>
      </patternFill>
    </fill>
    <fill>
      <patternFill patternType="solid">
        <fgColor rgb="FFFFFF00"/>
        <bgColor rgb="FFFFFF00"/>
      </patternFill>
    </fill>
    <fill>
      <patternFill patternType="solid">
        <fgColor rgb="FF5B3F86"/>
        <bgColor rgb="FF5B3F86"/>
      </patternFill>
    </fill>
    <fill>
      <patternFill patternType="solid">
        <fgColor rgb="FFF8F9FA"/>
        <bgColor rgb="FFF8F9FA"/>
      </patternFill>
    </fill>
    <fill>
      <patternFill patternType="solid">
        <fgColor rgb="FFF7F7F7"/>
        <bgColor rgb="FFF7F7F7"/>
      </patternFill>
    </fill>
    <fill>
      <patternFill patternType="solid">
        <fgColor rgb="FFFF9900"/>
        <bgColor rgb="FFFF9900"/>
      </patternFill>
    </fill>
    <fill>
      <patternFill patternType="solid">
        <fgColor rgb="FFEAEAEA"/>
        <bgColor rgb="FFEAEAEA"/>
      </patternFill>
    </fill>
  </fills>
  <borders count="15">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right/>
      <top/>
      <bottom/>
    </border>
    <border>
      <left style="medium">
        <color rgb="FFC0BFC0"/>
      </left>
      <right style="medium">
        <color rgb="FFC0BFC0"/>
      </right>
      <top style="medium">
        <color rgb="FFC0BFC0"/>
      </top>
      <bottom style="medium">
        <color rgb="FFC0BFC0"/>
      </bottom>
    </border>
    <border>
      <left style="medium">
        <color rgb="FFC0BFC0"/>
      </left>
      <right style="medium">
        <color rgb="FFC0BFC0"/>
      </right>
      <bottom style="medium">
        <color rgb="FFC0BFC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164" xfId="0" applyAlignment="1" applyFont="1" applyNumberFormat="1">
      <alignment vertical="bottom"/>
    </xf>
    <xf borderId="0" fillId="3" fontId="3" numFmtId="0" xfId="0" applyAlignment="1" applyFill="1" applyFont="1">
      <alignment horizontal="center" readingOrder="0"/>
    </xf>
    <xf borderId="0" fillId="0" fontId="2" numFmtId="0" xfId="0" applyAlignment="1" applyFont="1">
      <alignment vertical="bottom"/>
    </xf>
    <xf borderId="0" fillId="3" fontId="4" numFmtId="0" xfId="0" applyAlignment="1" applyFill="1" applyFont="1">
      <alignment readingOrder="0"/>
    </xf>
    <xf borderId="0" fillId="0" fontId="2" numFmtId="0" xfId="0" applyAlignment="1" applyFont="1">
      <alignment readingOrder="0" vertical="bottom"/>
    </xf>
    <xf borderId="0" fillId="3" fontId="5" numFmtId="0" xfId="0" applyAlignment="1" applyFill="1" applyFont="1">
      <alignment readingOrder="0" shrinkToFit="0" wrapText="1"/>
    </xf>
    <xf borderId="0" fillId="0" fontId="6" numFmtId="0" xfId="0" applyAlignment="1" applyFont="1">
      <alignment readingOrder="0" shrinkToFit="0" vertical="bottom" wrapText="0"/>
    </xf>
    <xf borderId="0" fillId="0" fontId="2" numFmtId="0" xfId="0" applyAlignment="1" applyFont="1">
      <alignment vertical="bottom"/>
    </xf>
    <xf borderId="0" fillId="0" fontId="7" numFmtId="164" xfId="0" applyAlignment="1" applyFont="1" applyNumberFormat="1">
      <alignment readingOrder="0"/>
    </xf>
    <xf borderId="0" fillId="0" fontId="7" numFmtId="0" xfId="0" applyAlignment="1" applyFont="1">
      <alignment readingOrder="0"/>
    </xf>
    <xf borderId="0" fillId="2" fontId="1" numFmtId="0" xfId="0" applyAlignment="1" applyFill="1" applyFont="1">
      <alignment horizontal="center" readingOrder="0" shrinkToFit="0" wrapText="0"/>
    </xf>
    <xf borderId="0" fillId="2" fontId="1" numFmtId="0" xfId="0" applyAlignment="1" applyFill="1" applyFont="1">
      <alignment horizontal="center" readingOrder="0" shrinkToFit="0" vertical="bottom" wrapText="0"/>
    </xf>
    <xf borderId="0" fillId="0" fontId="8" numFmtId="0" xfId="0" applyAlignment="1" applyFont="1">
      <alignment horizontal="center"/>
    </xf>
    <xf borderId="1" fillId="0" fontId="9" numFmtId="0" xfId="0" applyAlignment="1" applyBorder="1" applyFont="1">
      <alignment horizontal="center" readingOrder="0"/>
    </xf>
    <xf borderId="1" fillId="0" fontId="10" numFmtId="0" xfId="0" applyAlignment="1" applyBorder="1" applyFont="1">
      <alignment readingOrder="0"/>
    </xf>
    <xf borderId="1" fillId="0" fontId="7" numFmtId="0" xfId="0" applyAlignment="1" applyBorder="1" applyFont="1">
      <alignment horizontal="center" readingOrder="0"/>
    </xf>
    <xf borderId="1" fillId="0" fontId="10" numFmtId="0" xfId="0" applyAlignment="1" applyBorder="1" applyFont="1">
      <alignment horizontal="center" readingOrder="0"/>
    </xf>
    <xf borderId="0" fillId="0" fontId="7" numFmtId="0" xfId="0" applyFont="1"/>
    <xf borderId="0" fillId="0" fontId="11" numFmtId="0" xfId="0" applyAlignment="1" applyFont="1">
      <alignment horizontal="center" readingOrder="0"/>
    </xf>
    <xf borderId="0" fillId="0" fontId="12" numFmtId="0" xfId="0" applyAlignment="1" applyFont="1">
      <alignment readingOrder="0"/>
    </xf>
    <xf borderId="0" fillId="0" fontId="10" numFmtId="0" xfId="0" applyFont="1"/>
    <xf borderId="1" fillId="0" fontId="13" numFmtId="0" xfId="0" applyAlignment="1" applyBorder="1" applyFont="1">
      <alignment horizontal="center" readingOrder="0"/>
    </xf>
    <xf borderId="1" fillId="0" fontId="14" numFmtId="0" xfId="0" applyAlignment="1" applyBorder="1" applyFont="1">
      <alignment readingOrder="0"/>
    </xf>
    <xf borderId="0" fillId="0" fontId="6" numFmtId="0" xfId="0" applyAlignment="1" applyFont="1">
      <alignment horizontal="center" readingOrder="0" shrinkToFit="0" vertical="bottom" wrapText="0"/>
    </xf>
    <xf borderId="1" fillId="0" fontId="7" numFmtId="0" xfId="0" applyBorder="1" applyFont="1"/>
    <xf borderId="0" fillId="0" fontId="7" numFmtId="0" xfId="0" applyFont="1"/>
    <xf borderId="0" fillId="0" fontId="11" numFmtId="0" xfId="0" applyAlignment="1" applyFont="1">
      <alignment horizontal="center"/>
    </xf>
    <xf borderId="0" fillId="0" fontId="0" numFmtId="0" xfId="0" applyAlignment="1" applyFont="1">
      <alignment readingOrder="0" vertical="bottom"/>
    </xf>
    <xf borderId="1" fillId="0" fontId="7" numFmtId="0" xfId="0" applyAlignment="1" applyBorder="1" applyFont="1">
      <alignment readingOrder="0"/>
    </xf>
    <xf borderId="0" fillId="0" fontId="7" numFmtId="0" xfId="0" applyAlignment="1" applyFont="1">
      <alignment horizontal="center" readingOrder="0"/>
    </xf>
    <xf borderId="0" fillId="4" fontId="15" numFmtId="0" xfId="0" applyAlignment="1" applyFill="1" applyFont="1">
      <alignment horizontal="left" readingOrder="0" shrinkToFit="0" wrapText="0"/>
    </xf>
    <xf borderId="0" fillId="4" fontId="16" numFmtId="0" xfId="0" applyAlignment="1" applyFill="1" applyFont="1">
      <alignment horizontal="left" readingOrder="0" shrinkToFit="0" wrapText="0"/>
    </xf>
    <xf borderId="0" fillId="0" fontId="2" numFmtId="0" xfId="0" applyAlignment="1" applyFont="1">
      <alignment horizontal="center" readingOrder="0" vertical="bottom"/>
    </xf>
    <xf borderId="0" fillId="0" fontId="6" numFmtId="0" xfId="0" applyAlignment="1" applyFont="1">
      <alignment shrinkToFit="0" vertical="bottom" wrapText="0"/>
    </xf>
    <xf borderId="0" fillId="0" fontId="7" numFmtId="0" xfId="0" applyAlignment="1" applyFont="1">
      <alignment readingOrder="0"/>
    </xf>
    <xf borderId="1" fillId="0" fontId="17" numFmtId="0" xfId="0" applyAlignment="1" applyBorder="1" applyFont="1">
      <alignment readingOrder="0"/>
    </xf>
    <xf borderId="0" fillId="5" fontId="7" numFmtId="0" xfId="0" applyAlignment="1" applyFill="1" applyFont="1">
      <alignment readingOrder="0"/>
    </xf>
    <xf borderId="0" fillId="0" fontId="7" numFmtId="0" xfId="0" applyAlignment="1" applyFont="1">
      <alignment horizontal="center" readingOrder="0"/>
    </xf>
    <xf borderId="0" fillId="0" fontId="8" numFmtId="0" xfId="0" applyAlignment="1" applyFont="1">
      <alignment horizontal="center" readingOrder="0"/>
    </xf>
    <xf borderId="0" fillId="0" fontId="7" numFmtId="0" xfId="0" applyAlignment="1" applyFont="1">
      <alignment horizontal="center"/>
    </xf>
    <xf borderId="2" fillId="0" fontId="18" numFmtId="0" xfId="0" applyAlignment="1" applyBorder="1" applyFont="1">
      <alignment shrinkToFit="0" wrapText="0"/>
    </xf>
    <xf borderId="3" fillId="0" fontId="18" numFmtId="0" xfId="0" applyAlignment="1" applyBorder="1" applyFont="1">
      <alignment shrinkToFit="0" wrapText="0"/>
    </xf>
    <xf borderId="3" fillId="4" fontId="18" numFmtId="0" xfId="0" applyAlignment="1" applyBorder="1" applyFill="1" applyFont="1">
      <alignment shrinkToFit="0" wrapText="0"/>
    </xf>
    <xf borderId="2" fillId="0" fontId="18" numFmtId="0" xfId="0" applyAlignment="1" applyBorder="1" applyFont="1">
      <alignment shrinkToFit="0" wrapText="0"/>
    </xf>
    <xf borderId="0" fillId="0" fontId="13" numFmtId="0" xfId="0" applyAlignment="1" applyFont="1">
      <alignment horizontal="center" readingOrder="0"/>
    </xf>
    <xf borderId="0" fillId="0" fontId="14" numFmtId="0" xfId="0" applyAlignment="1" applyFont="1">
      <alignment readingOrder="0"/>
    </xf>
    <xf borderId="0" fillId="0" fontId="14" numFmtId="0" xfId="0" applyFont="1"/>
    <xf borderId="0" fillId="0" fontId="7" numFmtId="0" xfId="0" applyAlignment="1" applyFont="1">
      <alignment horizontal="center"/>
    </xf>
    <xf borderId="0" fillId="0" fontId="13" numFmtId="0" xfId="0" applyAlignment="1" applyFont="1">
      <alignment horizontal="center"/>
    </xf>
    <xf borderId="0" fillId="0" fontId="19" numFmtId="0" xfId="0" applyAlignment="1" applyFont="1">
      <alignment horizontal="center" readingOrder="0"/>
    </xf>
    <xf borderId="0" fillId="0" fontId="20" numFmtId="0" xfId="0" applyAlignment="1" applyFont="1">
      <alignment readingOrder="0"/>
    </xf>
    <xf borderId="0" fillId="0" fontId="21" numFmtId="0" xfId="0" applyAlignment="1" applyFont="1">
      <alignment horizontal="center" readingOrder="0"/>
    </xf>
    <xf borderId="0" fillId="4" fontId="22" numFmtId="0" xfId="0" applyAlignment="1" applyFill="1" applyFont="1">
      <alignment readingOrder="0"/>
    </xf>
    <xf borderId="0" fillId="0" fontId="6" numFmtId="0" xfId="0" applyAlignment="1" applyFont="1">
      <alignment horizontal="right" readingOrder="0" shrinkToFit="0" vertical="bottom" wrapText="0"/>
    </xf>
    <xf borderId="0" fillId="0" fontId="23" numFmtId="0" xfId="0" applyAlignment="1" applyFont="1">
      <alignment readingOrder="0"/>
    </xf>
    <xf borderId="1" fillId="6" fontId="24" numFmtId="0" xfId="0" applyAlignment="1" applyBorder="1" applyFill="1" applyFont="1">
      <alignment shrinkToFit="0" vertical="bottom" wrapText="0"/>
    </xf>
    <xf borderId="0" fillId="6" fontId="4" numFmtId="0" xfId="0" applyAlignment="1" applyFill="1" applyFont="1">
      <alignment readingOrder="0"/>
    </xf>
    <xf borderId="1" fillId="7" fontId="18" numFmtId="0" xfId="0" applyAlignment="1" applyBorder="1" applyFill="1" applyFont="1">
      <alignment shrinkToFit="0" vertical="bottom" wrapText="0"/>
    </xf>
    <xf borderId="1" fillId="4" fontId="18" numFmtId="0" xfId="0" applyAlignment="1" applyBorder="1" applyFill="1" applyFont="1">
      <alignment shrinkToFit="0" vertical="bottom" wrapText="0"/>
    </xf>
    <xf borderId="1" fillId="4" fontId="2" numFmtId="0" xfId="0" applyAlignment="1" applyBorder="1" applyFill="1" applyFont="1">
      <alignment vertical="bottom"/>
    </xf>
    <xf borderId="1" fillId="0" fontId="2" numFmtId="0" xfId="0" applyAlignment="1" applyBorder="1" applyFont="1">
      <alignment vertical="bottom"/>
    </xf>
    <xf borderId="1" fillId="7" fontId="2" numFmtId="0" xfId="0" applyAlignment="1" applyBorder="1" applyFill="1" applyFont="1">
      <alignment vertical="bottom"/>
    </xf>
    <xf borderId="1" fillId="0" fontId="7" numFmtId="0" xfId="0" applyAlignment="1" applyBorder="1" applyFont="1">
      <alignment readingOrder="0"/>
    </xf>
    <xf borderId="4" fillId="0" fontId="25" numFmtId="0" xfId="0" applyAlignment="1" applyBorder="1" applyFont="1">
      <alignment readingOrder="0" shrinkToFit="0" wrapText="1"/>
    </xf>
    <xf borderId="5" fillId="0" fontId="26" numFmtId="0" xfId="0" applyBorder="1" applyFont="1"/>
    <xf borderId="6" fillId="0" fontId="26" numFmtId="0" xfId="0" applyBorder="1" applyFont="1"/>
    <xf borderId="0" fillId="0" fontId="7" numFmtId="0" xfId="0" applyAlignment="1" applyFont="1">
      <alignment shrinkToFit="0" wrapText="1"/>
    </xf>
    <xf borderId="7" fillId="0" fontId="7" numFmtId="0" xfId="0" applyAlignment="1" applyBorder="1" applyFont="1">
      <alignment shrinkToFit="0" wrapText="1"/>
    </xf>
    <xf borderId="8" fillId="0" fontId="7" numFmtId="0" xfId="0" applyAlignment="1" applyBorder="1" applyFont="1">
      <alignment shrinkToFit="0" wrapText="1"/>
    </xf>
    <xf borderId="7" fillId="0" fontId="27" numFmtId="0" xfId="0" applyAlignment="1" applyBorder="1" applyFont="1">
      <alignment readingOrder="0" shrinkToFit="0" wrapText="1"/>
    </xf>
    <xf borderId="0" fillId="0" fontId="27" numFmtId="0" xfId="0" applyAlignment="1" applyFont="1">
      <alignment shrinkToFit="0" wrapText="1"/>
    </xf>
    <xf borderId="8" fillId="5" fontId="28" numFmtId="0" xfId="0" applyAlignment="1" applyBorder="1" applyFill="1" applyFont="1">
      <alignment readingOrder="0" shrinkToFit="0" wrapText="1"/>
    </xf>
    <xf borderId="7" fillId="0" fontId="29" numFmtId="0" xfId="0" applyAlignment="1" applyBorder="1" applyFont="1">
      <alignment readingOrder="0" shrinkToFit="0" wrapText="1"/>
    </xf>
    <xf borderId="0" fillId="0" fontId="29" numFmtId="0" xfId="0" applyAlignment="1" applyFont="1">
      <alignment shrinkToFit="0" wrapText="1"/>
    </xf>
    <xf borderId="7" fillId="0" fontId="30" numFmtId="0" xfId="0" applyAlignment="1" applyBorder="1" applyFont="1">
      <alignment shrinkToFit="0" wrapText="1"/>
    </xf>
    <xf borderId="0" fillId="0" fontId="30" numFmtId="0" xfId="0" applyAlignment="1" applyFont="1">
      <alignment shrinkToFit="0" wrapText="1"/>
    </xf>
    <xf borderId="8" fillId="5" fontId="31" numFmtId="0" xfId="0" applyAlignment="1" applyBorder="1" applyFill="1" applyFont="1">
      <alignment shrinkToFit="0" wrapText="1"/>
    </xf>
    <xf borderId="7" fillId="0" fontId="32" numFmtId="0" xfId="0" applyAlignment="1" applyBorder="1" applyFont="1">
      <alignment shrinkToFit="0" wrapText="1"/>
    </xf>
    <xf borderId="0" fillId="0" fontId="32" numFmtId="0" xfId="0" applyAlignment="1" applyFont="1">
      <alignment shrinkToFit="0" wrapText="1"/>
    </xf>
    <xf borderId="0" fillId="5" fontId="31" numFmtId="0" xfId="0" applyAlignment="1" applyFill="1" applyFont="1">
      <alignment shrinkToFit="0" wrapText="1"/>
    </xf>
    <xf borderId="0" fillId="0" fontId="30" numFmtId="0" xfId="0" applyAlignment="1" applyFont="1">
      <alignment readingOrder="0" shrinkToFit="0" wrapText="1"/>
    </xf>
    <xf borderId="8" fillId="0" fontId="33" numFmtId="0" xfId="0" applyAlignment="1" applyBorder="1" applyFont="1">
      <alignment shrinkToFit="0" wrapText="1"/>
    </xf>
    <xf borderId="7" fillId="0" fontId="30" numFmtId="0" xfId="0" applyAlignment="1" applyBorder="1" applyFont="1">
      <alignment readingOrder="0" shrinkToFit="0" wrapText="1"/>
    </xf>
    <xf borderId="8" fillId="0" fontId="11" numFmtId="0" xfId="0" applyAlignment="1" applyBorder="1" applyFont="1">
      <alignment shrinkToFit="0" wrapText="1"/>
    </xf>
    <xf borderId="9" fillId="0" fontId="30" numFmtId="0" xfId="0" applyAlignment="1" applyBorder="1" applyFont="1">
      <alignment shrinkToFit="0" wrapText="1"/>
    </xf>
    <xf borderId="10" fillId="0" fontId="30" numFmtId="0" xfId="0" applyAlignment="1" applyBorder="1" applyFont="1">
      <alignment shrinkToFit="0" wrapText="1"/>
    </xf>
    <xf borderId="9" fillId="0" fontId="7" numFmtId="0" xfId="0" applyAlignment="1" applyBorder="1" applyFont="1">
      <alignment shrinkToFit="0" wrapText="1"/>
    </xf>
    <xf borderId="10" fillId="0" fontId="7" numFmtId="0" xfId="0" applyAlignment="1" applyBorder="1" applyFont="1">
      <alignment shrinkToFit="0" wrapText="1"/>
    </xf>
    <xf borderId="11" fillId="0" fontId="7" numFmtId="0" xfId="0" applyAlignment="1" applyBorder="1" applyFont="1">
      <alignment shrinkToFit="0" wrapText="1"/>
    </xf>
    <xf borderId="0" fillId="4" fontId="21" numFmtId="0" xfId="0" applyAlignment="1" applyFill="1" applyFont="1">
      <alignment horizontal="center" readingOrder="0"/>
    </xf>
    <xf borderId="12" fillId="2" fontId="1" numFmtId="0" xfId="0" applyAlignment="1" applyBorder="1" applyFill="1" applyFont="1">
      <alignment vertical="bottom"/>
    </xf>
    <xf borderId="0" fillId="0" fontId="34" numFmtId="0" xfId="0" applyAlignment="1" applyFont="1">
      <alignment vertical="bottom"/>
    </xf>
    <xf borderId="0" fillId="0" fontId="2" numFmtId="0" xfId="0" applyAlignment="1" applyFont="1">
      <alignment horizontal="right" vertical="bottom"/>
    </xf>
    <xf borderId="0" fillId="0" fontId="35" numFmtId="0" xfId="0" applyAlignment="1" applyFont="1">
      <alignment horizontal="right" vertical="bottom"/>
    </xf>
    <xf borderId="12" fillId="5" fontId="2" numFmtId="0" xfId="0" applyAlignment="1" applyBorder="1" applyFill="1" applyFont="1">
      <alignment vertical="bottom"/>
    </xf>
    <xf borderId="12" fillId="4" fontId="36" numFmtId="0" xfId="0" applyAlignment="1" applyBorder="1" applyFill="1" applyFont="1">
      <alignment vertical="bottom"/>
    </xf>
    <xf borderId="12" fillId="5" fontId="2" numFmtId="0" xfId="0" applyAlignment="1" applyBorder="1" applyFill="1" applyFont="1">
      <alignment horizontal="right" vertical="bottom"/>
    </xf>
    <xf borderId="12" fillId="8" fontId="37" numFmtId="0" xfId="0" applyAlignment="1" applyBorder="1" applyFill="1" applyFont="1">
      <alignment horizontal="right" vertical="bottom"/>
    </xf>
    <xf borderId="12" fillId="8" fontId="38" numFmtId="0" xfId="0" applyAlignment="1" applyBorder="1" applyFill="1" applyFont="1">
      <alignment horizontal="right" vertical="bottom"/>
    </xf>
    <xf borderId="0" fillId="0" fontId="39" numFmtId="0" xfId="0" applyAlignment="1" applyFont="1">
      <alignment readingOrder="0"/>
    </xf>
    <xf borderId="0" fillId="4" fontId="40" numFmtId="0" xfId="0" applyAlignment="1" applyFill="1" applyFont="1">
      <alignment readingOrder="0"/>
    </xf>
    <xf borderId="0" fillId="4" fontId="41" numFmtId="0" xfId="0" applyAlignment="1" applyFill="1" applyFont="1">
      <alignment readingOrder="0"/>
    </xf>
    <xf borderId="0" fillId="0" fontId="17" numFmtId="0" xfId="0" applyAlignment="1" applyFont="1">
      <alignment readingOrder="0"/>
    </xf>
    <xf borderId="0" fillId="0" fontId="41" numFmtId="0" xfId="0" applyAlignment="1" applyFont="1">
      <alignment readingOrder="0"/>
    </xf>
    <xf borderId="0" fillId="0" fontId="38" numFmtId="0" xfId="0" applyAlignment="1" applyFont="1">
      <alignment readingOrder="0"/>
    </xf>
    <xf borderId="0" fillId="9" fontId="17" numFmtId="0" xfId="0" applyAlignment="1" applyFill="1" applyFont="1">
      <alignment horizontal="left" readingOrder="0"/>
    </xf>
    <xf borderId="0" fillId="9" fontId="7" numFmtId="0" xfId="0" applyAlignment="1" applyFill="1" applyFont="1">
      <alignment readingOrder="0"/>
    </xf>
    <xf borderId="0" fillId="0" fontId="42" numFmtId="0" xfId="0" applyFont="1"/>
    <xf borderId="13" fillId="10" fontId="43" numFmtId="0" xfId="0" applyAlignment="1" applyBorder="1" applyFill="1" applyFont="1">
      <alignment horizontal="center" vertical="top"/>
    </xf>
    <xf borderId="14" fillId="0" fontId="44" numFmtId="0" xfId="0" applyAlignment="1" applyBorder="1" applyFont="1">
      <alignment horizontal="left" vertical="top"/>
    </xf>
    <xf borderId="14" fillId="0" fontId="44" numFmtId="3" xfId="0" applyAlignment="1" applyBorder="1" applyFont="1" applyNumberFormat="1">
      <alignment horizontal="right" vertical="top"/>
    </xf>
    <xf borderId="0" fillId="0" fontId="7" numFmtId="0" xfId="0" applyAlignment="1" applyFont="1">
      <alignment readingOrder="0"/>
    </xf>
    <xf borderId="0" fillId="8" fontId="38" numFmtId="0" xfId="0" applyAlignment="1" applyFill="1" applyFont="1">
      <alignment horizontal="left" readingOrder="0"/>
    </xf>
    <xf borderId="0" fillId="5" fontId="7" numFmtId="0" xfId="0" applyAlignment="1" applyFill="1" applyFont="1">
      <alignment horizontal="left" readingOrder="0"/>
    </xf>
    <xf borderId="0" fillId="5" fontId="7" numFmtId="0" xfId="0" applyAlignment="1" applyFill="1" applyFont="1">
      <alignment readingOrder="0"/>
    </xf>
    <xf borderId="0" fillId="8" fontId="45" numFmtId="0" xfId="0" applyAlignment="1" applyFill="1" applyFont="1">
      <alignment horizontal="left" readingOrder="0"/>
    </xf>
    <xf borderId="14" fillId="0" fontId="7" numFmtId="0" xfId="0" applyBorder="1" applyFont="1"/>
    <xf borderId="14" fillId="0" fontId="46" numFmtId="0" xfId="0" applyAlignment="1" applyBorder="1" applyFont="1">
      <alignment horizontal="center" readingOrder="0"/>
    </xf>
    <xf borderId="14" fillId="9" fontId="17" numFmtId="0" xfId="0" applyAlignment="1" applyBorder="1" applyFill="1" applyFont="1">
      <alignment horizontal="left" readingOrder="0"/>
    </xf>
    <xf borderId="14" fillId="9" fontId="7" numFmtId="0" xfId="0" applyAlignment="1" applyBorder="1" applyFill="1" applyFont="1">
      <alignment readingOrder="0"/>
    </xf>
    <xf borderId="14" fillId="4" fontId="21" numFmtId="0" xfId="0" applyAlignment="1" applyBorder="1" applyFill="1" applyFont="1">
      <alignment horizontal="center" readingOrder="0"/>
    </xf>
    <xf borderId="14" fillId="0" fontId="7" numFmtId="0" xfId="0" applyAlignment="1" applyBorder="1" applyFont="1">
      <alignment readingOrder="0"/>
    </xf>
    <xf borderId="14" fillId="4" fontId="46" numFmtId="0" xfId="0" applyAlignment="1" applyBorder="1" applyFill="1" applyFont="1">
      <alignment horizontal="center" readingOrder="0"/>
    </xf>
    <xf borderId="0" fillId="0" fontId="44" numFmtId="0" xfId="0" applyAlignment="1" applyFont="1">
      <alignment horizontal="left" vertical="top"/>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2" pivot="0" name="bydomain-style">
      <tableStyleElement dxfId="1" type="firstRowStripe"/>
      <tableStyleElement dxfId="3" type="secondRowStripe"/>
    </tableStyle>
    <tableStyle count="3" pivot="0" name="Mentor Choices-style">
      <tableStyleElement dxfId="2" type="headerRow"/>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1000"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Mentor Choic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2:B46" displayName="Table_2" name="Table_2" id="2">
  <tableColumns count="1">
    <tableColumn name="Column1" id="1"/>
  </tableColumns>
  <tableStyleInfo name="bydoma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2tuUjLGHGbk5fgp1euc9pTWJyxcizdR-K48z4x8aVKk/edit?usp=sharing" TargetMode="External"/><Relationship Id="rId190" Type="http://schemas.openxmlformats.org/officeDocument/2006/relationships/hyperlink" Target="https://drive.google.com/file/d/1MCqmRZ5vWKwlGubIpsh1o2Ps4weqphdG/view?usp=sharing" TargetMode="External"/><Relationship Id="rId42" Type="http://schemas.openxmlformats.org/officeDocument/2006/relationships/hyperlink" Target="https://hz0410.github.io/portfolio/resume/" TargetMode="External"/><Relationship Id="rId41" Type="http://schemas.openxmlformats.org/officeDocument/2006/relationships/hyperlink" Target="https://drive.google.com/file/d/1BFjDOAbRadcYNthWDliyQijM9J4U-Yzf/view?usp=sharing" TargetMode="External"/><Relationship Id="rId44" Type="http://schemas.openxmlformats.org/officeDocument/2006/relationships/hyperlink" Target="https://www.overleaf.com/read/pcjxgwrgfprh" TargetMode="External"/><Relationship Id="rId194" Type="http://schemas.openxmlformats.org/officeDocument/2006/relationships/hyperlink" Target="https://drive.google.com/file/d/1OvR54HzXAmaSk9VchYq_QKnCKklN2BgZ/view?usp=sharing" TargetMode="External"/><Relationship Id="rId43" Type="http://schemas.openxmlformats.org/officeDocument/2006/relationships/hyperlink" Target="https://tinyurl.com/auchung" TargetMode="External"/><Relationship Id="rId193" Type="http://schemas.openxmlformats.org/officeDocument/2006/relationships/hyperlink" Target="https://drive.google.com/file/d/1YBSwU-I5Fhbvgm0taguyXfX-Rf8NI0l0/view?usp=sharing" TargetMode="External"/><Relationship Id="rId46" Type="http://schemas.openxmlformats.org/officeDocument/2006/relationships/hyperlink" Target="https://docs.google.com/document/d/1HwLXr04e3Bhk8BUpaUsI710_QQ_oMJuME82zFWJsQv4/edit?tab=t.0" TargetMode="External"/><Relationship Id="rId192" Type="http://schemas.openxmlformats.org/officeDocument/2006/relationships/hyperlink" Target="https://drive.google.com/file/d/1Vz7mHoF8-EV4i0O93eagiYY18Z5UpTn5/view?usp=sharing" TargetMode="External"/><Relationship Id="rId45" Type="http://schemas.openxmlformats.org/officeDocument/2006/relationships/hyperlink" Target="https://docs.google.com/document/d/1q20uiycQ0L-e5krBVSGKB5hurpI_TUENn_oqChVpGUo/edit?usp=sharing" TargetMode="External"/><Relationship Id="rId191" Type="http://schemas.openxmlformats.org/officeDocument/2006/relationships/hyperlink" Target="https://pratham-aggr.github.io/assets/resume.pdf" TargetMode="External"/><Relationship Id="rId48" Type="http://schemas.openxmlformats.org/officeDocument/2006/relationships/hyperlink" Target="https://drive.google.com/file/d/1YCiPSYQOqMhv6jAzdFdaEuKI6tZu2te1/view?usp=share_link" TargetMode="External"/><Relationship Id="rId187" Type="http://schemas.openxmlformats.org/officeDocument/2006/relationships/hyperlink" Target="https://drive.google.com/file/d/1i9ozCkB7586B7OfpHQN9u0EbkZlnrFV1/view?usp=sharing" TargetMode="External"/><Relationship Id="rId47" Type="http://schemas.openxmlformats.org/officeDocument/2006/relationships/hyperlink" Target="https://docs.google.com/document/d/1CZEWHzYkhQsRHwXwL4glwCd4tTDBEwqUjOg-sLDnmjo/edit?usp=drivesdk" TargetMode="External"/><Relationship Id="rId186" Type="http://schemas.openxmlformats.org/officeDocument/2006/relationships/hyperlink" Target="https://d4phan.github.io/portfolio/" TargetMode="External"/><Relationship Id="rId185" Type="http://schemas.openxmlformats.org/officeDocument/2006/relationships/hyperlink" Target="https://drive.google.com/file/d/1yaFQGMMncsAIaNOQmy82ISnVRSFLnfv_/view?usp=sharing" TargetMode="External"/><Relationship Id="rId49" Type="http://schemas.openxmlformats.org/officeDocument/2006/relationships/hyperlink" Target="https://drive.google.com/file/d/1-rJNdFXpeLbecJIBIQMAP8TIvo6jtMjr/view?usp=sharing" TargetMode="External"/><Relationship Id="rId184" Type="http://schemas.openxmlformats.org/officeDocument/2006/relationships/hyperlink" Target="https://drive.google.com/file/d/1UUVcWzwFMXkm-DiZ4XyZxJjBS25dHsc5/view?usp=sharing" TargetMode="External"/><Relationship Id="rId189" Type="http://schemas.openxmlformats.org/officeDocument/2006/relationships/hyperlink" Target="https://drive.google.com/file/d/1ve7gxe8J_dpOkz8H3cYVpwL1KsBL3dCy/view?usp=sharing" TargetMode="External"/><Relationship Id="rId188" Type="http://schemas.openxmlformats.org/officeDocument/2006/relationships/hyperlink" Target="https://kpengds.github.io/portfolio/" TargetMode="External"/><Relationship Id="rId31" Type="http://schemas.openxmlformats.org/officeDocument/2006/relationships/hyperlink" Target="https://drive.google.com/file/d/1QLFaezyIfe7B9rLdJWvKixn54HKjq-M7/view?usp=sharing" TargetMode="External"/><Relationship Id="rId30" Type="http://schemas.openxmlformats.org/officeDocument/2006/relationships/hyperlink" Target="https://drive.google.com/file/d/1puwnAM_58vKb6NZtUXO4_CvbSbExs9VU/view?usp=sharing" TargetMode="External"/><Relationship Id="rId33" Type="http://schemas.openxmlformats.org/officeDocument/2006/relationships/hyperlink" Target="https://drive.google.com/file/d/1gBjkrqkGCxtq7dXULSf3nUU1lZ6F_XGV/view?usp=drive_link" TargetMode="External"/><Relationship Id="rId183" Type="http://schemas.openxmlformats.org/officeDocument/2006/relationships/hyperlink" Target="https://docs.google.com/document/d/1HXMj4RXJIhUimOA_MrkuHka0gZqz952XUGONAUFzNjQ/edit?usp=sharing" TargetMode="External"/><Relationship Id="rId32" Type="http://schemas.openxmlformats.org/officeDocument/2006/relationships/hyperlink" Target="https://drive.google.com/file/d/1uPPxRcJwJ1dkPRRS-HmSzbJu1QbhFsRo/view?usp=sharing" TargetMode="External"/><Relationship Id="rId182" Type="http://schemas.openxmlformats.org/officeDocument/2006/relationships/hyperlink" Target="https://drive.google.com/file/d/1skIoxzEX7ZXCdFqQOweXy4aupQ7g7CRu/view?usp=sharing" TargetMode="External"/><Relationship Id="rId35" Type="http://schemas.openxmlformats.org/officeDocument/2006/relationships/hyperlink" Target="https://drive.google.com/file/d/1Y5A4OFBKCxFlLPyo0ruloo-LGRSTx6Em/view?usp=sharing" TargetMode="External"/><Relationship Id="rId181" Type="http://schemas.openxmlformats.org/officeDocument/2006/relationships/hyperlink" Target="http://github.com/abdulrahimham" TargetMode="External"/><Relationship Id="rId34" Type="http://schemas.openxmlformats.org/officeDocument/2006/relationships/hyperlink" Target="https://docs.google.com/document/d/1k24uXGLmV4uhrT1QkVirIt3kmlx5FcFwgg1R_6KuIiA/edit?usp=sharing" TargetMode="External"/><Relationship Id="rId180" Type="http://schemas.openxmlformats.org/officeDocument/2006/relationships/hyperlink" Target="https://canva.link/vlqa3iccamehijz" TargetMode="External"/><Relationship Id="rId37" Type="http://schemas.openxmlformats.org/officeDocument/2006/relationships/hyperlink" Target="https://docs.google.com/document/d/e/2PACX-1vSMNhW1qSDbxh_4CXTtjR40Z9fMcRjp6qk97OcjX6bbuio0XqG-c87IdychjfGeB1vCLaB8CSxlUO0Z/pub" TargetMode="External"/><Relationship Id="rId176" Type="http://schemas.openxmlformats.org/officeDocument/2006/relationships/hyperlink" Target="https://drive.google.com/file/d/1RYuXUkMun6DIy1rLOeqZoa111CXLg7sZ/view?usp=sharing" TargetMode="External"/><Relationship Id="rId297" Type="http://schemas.openxmlformats.org/officeDocument/2006/relationships/hyperlink" Target="https://docs.google.com/document/d/1EcrNj1EMwHvgXnk2Dd-jYfmt5L3L-DoHyL1edV--uwo/edit?usp=sharing" TargetMode="External"/><Relationship Id="rId36" Type="http://schemas.openxmlformats.org/officeDocument/2006/relationships/hyperlink" Target="https://docs.google.com/document/d/1W9v64R68TtvkJfMuidwXZrzokJpL7X4Wotn5Y1tDkJI/edit?usp=sharing" TargetMode="External"/><Relationship Id="rId175" Type="http://schemas.openxmlformats.org/officeDocument/2006/relationships/hyperlink" Target="https://drive.google.com/file/d/1fxTJ8Sv7a36GfxWnWooxxsXWr9vJlpSL/view?usp=sharing" TargetMode="External"/><Relationship Id="rId296" Type="http://schemas.openxmlformats.org/officeDocument/2006/relationships/hyperlink" Target="https://docs.google.com/document/d/1o81vmwQE84wI5ojzMtCnLSg6kN0zL_1i/edit?usp=sharing&amp;ouid=100953120088986954155&amp;rtpof=true&amp;sd=true" TargetMode="External"/><Relationship Id="rId39" Type="http://schemas.openxmlformats.org/officeDocument/2006/relationships/hyperlink" Target="https://drive.google.com/file/d/1ZQQ0SN9fA5dxypHFi-sT-nEP8AolZNNX/view" TargetMode="External"/><Relationship Id="rId174" Type="http://schemas.openxmlformats.org/officeDocument/2006/relationships/hyperlink" Target="https://drive.google.com/file/d/12c2pZWwFuQtVp76SqG7H9o6oOu_5vhy1/view?usp=sharing" TargetMode="External"/><Relationship Id="rId295" Type="http://schemas.openxmlformats.org/officeDocument/2006/relationships/hyperlink" Target="https://drive.google.com/file/d/1SURnelH6iU9FMGUf593P4d-Egrwju6wX/view?usp=drive_link" TargetMode="External"/><Relationship Id="rId38" Type="http://schemas.openxmlformats.org/officeDocument/2006/relationships/hyperlink" Target="https://drive.google.com/file/d/1GA8EDhBNr6SSygTDg9k4IjukUyiXfViD/view?usp=sharing" TargetMode="External"/><Relationship Id="rId173" Type="http://schemas.openxmlformats.org/officeDocument/2006/relationships/hyperlink" Target="https://drive.google.com/file/d/17W8A9q8P_4p_hD9z7ANmYgu8NyVKt7r3/view?usp=sharing" TargetMode="External"/><Relationship Id="rId294" Type="http://schemas.openxmlformats.org/officeDocument/2006/relationships/hyperlink" Target="https://docs.google.com/document/d/1QfDKrXXz_yVCLX2E2Z8jbX8ZRpqTRXi61o1GYfgx8j0/edit?usp=sharing" TargetMode="External"/><Relationship Id="rId179" Type="http://schemas.openxmlformats.org/officeDocument/2006/relationships/hyperlink" Target="https://drive.google.com/file/d/1JAxyqagNyFCx0GnppCNnd8N7y-SQbIIs/view?usp=sharing" TargetMode="External"/><Relationship Id="rId178" Type="http://schemas.openxmlformats.org/officeDocument/2006/relationships/hyperlink" Target="https://dylandsouza.com/resume" TargetMode="External"/><Relationship Id="rId299" Type="http://schemas.openxmlformats.org/officeDocument/2006/relationships/hyperlink" Target="https://sunnychingsun.github.io/files/Sunny_Sun_Resume.pdf" TargetMode="External"/><Relationship Id="rId177" Type="http://schemas.openxmlformats.org/officeDocument/2006/relationships/hyperlink" Target="https://docs.google.com/document/d/15xJaVPL7E5mFHM9FNLg4jVuquq7eqQgVNYNOqE3rjZk/edit?usp=sharing" TargetMode="External"/><Relationship Id="rId298" Type="http://schemas.openxmlformats.org/officeDocument/2006/relationships/hyperlink" Target="https://lucien1010.github.io/portfolio/resume/" TargetMode="External"/><Relationship Id="rId20" Type="http://schemas.openxmlformats.org/officeDocument/2006/relationships/hyperlink" Target="https://drive.google.com/file/d/1L5D0Tq3aacpcCUKAEMTMwh8bzo7mAZbD/view?usp=sharing" TargetMode="External"/><Relationship Id="rId22" Type="http://schemas.openxmlformats.org/officeDocument/2006/relationships/hyperlink" Target="https://popokeyry.github.io/portfolio/resume/" TargetMode="External"/><Relationship Id="rId21" Type="http://schemas.openxmlformats.org/officeDocument/2006/relationships/hyperlink" Target="https://docs.google.com/document/d/10tchVqFkX4eQRxi-f5HMsTNAq1v7GqZdooKZUaxkOXA/edit?usp=sharing" TargetMode="External"/><Relationship Id="rId24" Type="http://schemas.openxmlformats.org/officeDocument/2006/relationships/hyperlink" Target="https://docs.google.com/document/d/13X1KsziWs9D5AuZ48KEqMhYFV5JZ46bZ0-yydnjGSsQ/edit?usp=share_link" TargetMode="External"/><Relationship Id="rId23" Type="http://schemas.openxmlformats.org/officeDocument/2006/relationships/hyperlink" Target="https://drive.google.com/file/d/1YcMh_eS0fUbQIJ0BMmR8NTgHYixYPJKa/view?usp=sharing" TargetMode="External"/><Relationship Id="rId26" Type="http://schemas.openxmlformats.org/officeDocument/2006/relationships/hyperlink" Target="https://drive.google.com/file/d/1dKw4rOmVGj4jXhbVgmpucRu3-EOf7mWy/view?usp=sharing" TargetMode="External"/><Relationship Id="rId25" Type="http://schemas.openxmlformats.org/officeDocument/2006/relationships/hyperlink" Target="https://drive.google.com/file/d/11b_Py6OiqQB0BJZGNwuBdN-2p-dqt5Kr/view?usp=sharing" TargetMode="External"/><Relationship Id="rId28" Type="http://schemas.openxmlformats.org/officeDocument/2006/relationships/hyperlink" Target="https://drive.google.com/file/d/10WxTwUnnqZvct8veh3aSlAbwXnj-hVeW/view?usp=sharing" TargetMode="External"/><Relationship Id="rId27" Type="http://schemas.openxmlformats.org/officeDocument/2006/relationships/hyperlink" Target="https://drive.google.com/file/d/1ut421xnPtIvwaeuleLnsGbUT-JWJllqU/view?usp=sharing" TargetMode="External"/><Relationship Id="rId29" Type="http://schemas.openxmlformats.org/officeDocument/2006/relationships/hyperlink" Target="https://drive.google.com/file/d/1YGTFSKAd4AJT0nfmu0tLvs6NGV3gu5x9/view?usp=sharing" TargetMode="External"/><Relationship Id="rId11" Type="http://schemas.openxmlformats.org/officeDocument/2006/relationships/hyperlink" Target="https://drive.google.com/drive/folders/1WU_mF82LYenfFu51R6pe_eTsrNI2Cxjq?usp=drive_link" TargetMode="External"/><Relationship Id="rId10" Type="http://schemas.openxmlformats.org/officeDocument/2006/relationships/hyperlink" Target="https://drive.google.com/file/d/1NiJ46msTHKec6EqQScYrWfu_-NPvo_mn/view?usp=sharing" TargetMode="External"/><Relationship Id="rId13" Type="http://schemas.openxmlformats.org/officeDocument/2006/relationships/hyperlink" Target="https://docs.google.com/document/d/1s0FTBgGXQn8bXy7MP_7EAsIdBC3yPBbFNKNfJhWd3Ng/edit?usp=sharing" TargetMode="External"/><Relationship Id="rId12" Type="http://schemas.openxmlformats.org/officeDocument/2006/relationships/hyperlink" Target="https://drive.google.com/file/d/1saTF-GzQ9Jcsilj_v_8SyLpTx3wsROMH/view?usp=sharing" TargetMode="External"/><Relationship Id="rId15" Type="http://schemas.openxmlformats.org/officeDocument/2006/relationships/hyperlink" Target="https://www.overleaf.com/read/wkmsvmqtyszp" TargetMode="External"/><Relationship Id="rId198" Type="http://schemas.openxmlformats.org/officeDocument/2006/relationships/hyperlink" Target="https://drive.google.com/file/d/1bWan_4wfSDQPO2fJY5pb5-97wdoayfqd/view?usp=sharing" TargetMode="External"/><Relationship Id="rId14" Type="http://schemas.openxmlformats.org/officeDocument/2006/relationships/hyperlink" Target="https://docs.google.com/document/d/1ShMuDMpQQQRo6ddQe3t_RIuy9CbUqH95jZtIH4M5yr0/edit?usp=drivesdk" TargetMode="External"/><Relationship Id="rId197" Type="http://schemas.openxmlformats.org/officeDocument/2006/relationships/hyperlink" Target="https://drive.google.com/file/d/1ISIzk3gh6DXW-E5C8-DCHAV6edeXZRRg/view?usp=sharing" TargetMode="External"/><Relationship Id="rId17" Type="http://schemas.openxmlformats.org/officeDocument/2006/relationships/hyperlink" Target="https://drive.google.com/file/d/1I8GESX7tQgVmJtVE0Un8d9FahcCbig-Z/view?usp=sharing" TargetMode="External"/><Relationship Id="rId196" Type="http://schemas.openxmlformats.org/officeDocument/2006/relationships/hyperlink" Target="https://drive.google.com/file/d/19cNSSsVumaihaKlKKFhyegJb8wYkqyaG/view?usp=sharing" TargetMode="External"/><Relationship Id="rId16" Type="http://schemas.openxmlformats.org/officeDocument/2006/relationships/hyperlink" Target="https://drive.google.com/file/d/18ntvq1A4dvOryNTbQRZQPtIEO4S2BYR0/view?usp=sharing" TargetMode="External"/><Relationship Id="rId195" Type="http://schemas.openxmlformats.org/officeDocument/2006/relationships/hyperlink" Target="https://drive.google.com/file/d/1jEaJqSHR1XjPt2j35s6N067_sRVF4lms/view?usp=sharing" TargetMode="External"/><Relationship Id="rId19" Type="http://schemas.openxmlformats.org/officeDocument/2006/relationships/hyperlink" Target="https://docs.google.com/document/d/1LlHZDTTSHoS6xql-Uml8OBqczZaCp0-MbVh6vm-9pFM/edit?usp=drivesdk" TargetMode="External"/><Relationship Id="rId18" Type="http://schemas.openxmlformats.org/officeDocument/2006/relationships/hyperlink" Target="https://drive.google.com/file/d/1ONbVQ9s53VMu6B9eQBBxmuHICo4jeklw/view?usp=sharing" TargetMode="External"/><Relationship Id="rId199" Type="http://schemas.openxmlformats.org/officeDocument/2006/relationships/hyperlink" Target="https://drive.google.com/file/d/1O_3F3YKqhmzzAV3ibFRACT6jjEOth3HP/view?usp=sharing" TargetMode="External"/><Relationship Id="rId84" Type="http://schemas.openxmlformats.org/officeDocument/2006/relationships/hyperlink" Target="https://canva.link/w9rox2gnd02rwod" TargetMode="External"/><Relationship Id="rId83" Type="http://schemas.openxmlformats.org/officeDocument/2006/relationships/hyperlink" Target="https://drive.google.com/file/d/1bR2xJQ6Y6L7ZYxLygGFkoKOYMvfMlf9x/view?usp=sharing" TargetMode="External"/><Relationship Id="rId86" Type="http://schemas.openxmlformats.org/officeDocument/2006/relationships/hyperlink" Target="https://drive.google.com/file/d/1-CXGs8442uCFcEdYN1nGb-s2cqa2QIbd/view?usp=sharing" TargetMode="External"/><Relationship Id="rId85" Type="http://schemas.openxmlformats.org/officeDocument/2006/relationships/hyperlink" Target="https://drive.google.com/file/d/1nem20aLurSi-ycTTHM2OG8H3ACFHFYEt/view?usp=sharing" TargetMode="External"/><Relationship Id="rId88" Type="http://schemas.openxmlformats.org/officeDocument/2006/relationships/hyperlink" Target="https://drive.google.com/file/d/1wk3w50NM-NwcC028MWlkaf7fpBzY2JJq/view?usp=sharing" TargetMode="External"/><Relationship Id="rId150" Type="http://schemas.openxmlformats.org/officeDocument/2006/relationships/hyperlink" Target="https://www.kimichen.net/assets/kimi-chen-resume.pdf" TargetMode="External"/><Relationship Id="rId271" Type="http://schemas.openxmlformats.org/officeDocument/2006/relationships/hyperlink" Target="https://drive.google.com/file/d/1dYZ-mnyM5iHonKui9Wv0_G8PI0JfzlWs/view?usp=sharing" TargetMode="External"/><Relationship Id="rId87" Type="http://schemas.openxmlformats.org/officeDocument/2006/relationships/hyperlink" Target="https://docs.google.com/document/d/1iDRBAyU01B9DfRj5lR6Rt4AjUxtZGPjXwPl7PcIRhzc/edit?usp=sharing" TargetMode="External"/><Relationship Id="rId270" Type="http://schemas.openxmlformats.org/officeDocument/2006/relationships/hyperlink" Target="https://drive.google.com/file/d/1IvZPJzw9gs_PC_sa9ponHwh2vR6KDEb4/view?usp=sharing" TargetMode="External"/><Relationship Id="rId89" Type="http://schemas.openxmlformats.org/officeDocument/2006/relationships/hyperlink" Target="https://drive.google.com/file/d/1VYP7FyFe5a9rj-4GP51hWwbnU8Qi-NsL/view?usp=sharing" TargetMode="External"/><Relationship Id="rId80" Type="http://schemas.openxmlformats.org/officeDocument/2006/relationships/hyperlink" Target="https://docs.google.com/document/d/1hbNNfcQlbgaK--9dul7WzgoSSt2r8pJm/edit" TargetMode="External"/><Relationship Id="rId82" Type="http://schemas.openxmlformats.org/officeDocument/2006/relationships/hyperlink" Target="https://drive.google.com/file/d/1XoH2ZaY2-maJyDSWaJ86HFKP1K6KExt0/view?usp=sharing" TargetMode="External"/><Relationship Id="rId81" Type="http://schemas.openxmlformats.org/officeDocument/2006/relationships/hyperlink" Target="https://drive.google.com/file/d/1Pb3BPBKpi321idEYxCNBQSBanEJEBW1q/view?usp=sharing" TargetMode="External"/><Relationship Id="rId1" Type="http://schemas.openxmlformats.org/officeDocument/2006/relationships/comments" Target="../comments1.xml"/><Relationship Id="rId2" Type="http://schemas.openxmlformats.org/officeDocument/2006/relationships/hyperlink" Target="https://drive.google.com/file/d/1twfNFXw5etJwb4VSLD3lrfpHA1-lon9T/view?usp=sharing" TargetMode="External"/><Relationship Id="rId3" Type="http://schemas.openxmlformats.org/officeDocument/2006/relationships/hyperlink" Target="https://drive.google.com/file/d/10O0wApXn_zQWFXEhmn8QHxOPJNKswQns/view?usp=sharing" TargetMode="External"/><Relationship Id="rId149" Type="http://schemas.openxmlformats.org/officeDocument/2006/relationships/hyperlink" Target="https://drive.google.com/file/d/1u2chHmDSk8MupioGSGSo1g7II3gMxuB4/view?usp=sharing" TargetMode="External"/><Relationship Id="rId4" Type="http://schemas.openxmlformats.org/officeDocument/2006/relationships/hyperlink" Target="https://drive.google.com/file/d/1OdPD6UYzLG_Y4mVp0174_uVN121_jBqG/view?usp=sharing" TargetMode="External"/><Relationship Id="rId148" Type="http://schemas.openxmlformats.org/officeDocument/2006/relationships/hyperlink" Target="https://drive.google.com/file/d/1-rZHe8a9YEBC6QW7U7vcCfYtIICDn3Kb/view?usp=sharing" TargetMode="External"/><Relationship Id="rId269" Type="http://schemas.openxmlformats.org/officeDocument/2006/relationships/hyperlink" Target="https://drive.google.com/file/d/1AHGMeIjkzuA58oqVLYrAlDGwYcD8tT7m/view?usp=sharing" TargetMode="External"/><Relationship Id="rId9" Type="http://schemas.openxmlformats.org/officeDocument/2006/relationships/hyperlink" Target="https://drive.google.com/file/d/15zSKD9c38UGueY1pKI00lD8uOl6nB5PR/view?usp=sharing" TargetMode="External"/><Relationship Id="rId143" Type="http://schemas.openxmlformats.org/officeDocument/2006/relationships/hyperlink" Target="https://docs.google.com/document/d/1693RVsm-6UAHZL90U32AJA-ELK029BmpEuyF2L0IIFA/edit?usp=sharing" TargetMode="External"/><Relationship Id="rId264" Type="http://schemas.openxmlformats.org/officeDocument/2006/relationships/hyperlink" Target="https://drive.google.com/file/d/1KmSIPRXvhezBot42mUFmv5W2bGzgx4MP/view?usp=sharing" TargetMode="External"/><Relationship Id="rId142" Type="http://schemas.openxmlformats.org/officeDocument/2006/relationships/hyperlink" Target="https://docs.google.com/document/d/1S8wEenbQ26nrGN2SwQqEv9HKKMjFf63UnvGMrYDofg0/edit?usp=sharing" TargetMode="External"/><Relationship Id="rId263" Type="http://schemas.openxmlformats.org/officeDocument/2006/relationships/hyperlink" Target="https://drive.google.com/file/d/1SsPbn5bg6zD4CtRhGmL0AXODow5CMFBE/view?usp=share_link" TargetMode="External"/><Relationship Id="rId141" Type="http://schemas.openxmlformats.org/officeDocument/2006/relationships/hyperlink" Target="https://drive.google.com/file/d/1hhbfjIfvN2nH_QVUKeodWPNKQwT03GTD/view?usp=sharing" TargetMode="External"/><Relationship Id="rId262" Type="http://schemas.openxmlformats.org/officeDocument/2006/relationships/hyperlink" Target="https://mmzhang7.github.io/resume" TargetMode="External"/><Relationship Id="rId140" Type="http://schemas.openxmlformats.org/officeDocument/2006/relationships/hyperlink" Target="https://xxzhangzzx.github.io/My_Resume/" TargetMode="External"/><Relationship Id="rId261" Type="http://schemas.openxmlformats.org/officeDocument/2006/relationships/hyperlink" Target="https://drive.google.com/file/d/11rr5qAeklImVwoKNalJAmJR6V1StScMl/view?usp=drive_link" TargetMode="External"/><Relationship Id="rId5" Type="http://schemas.openxmlformats.org/officeDocument/2006/relationships/hyperlink" Target="https://www.overleaf.com/read/yqfxvtzpvnjy" TargetMode="External"/><Relationship Id="rId147" Type="http://schemas.openxmlformats.org/officeDocument/2006/relationships/hyperlink" Target="https://www.linkedin.com/in/terran-chow/" TargetMode="External"/><Relationship Id="rId268" Type="http://schemas.openxmlformats.org/officeDocument/2006/relationships/hyperlink" Target="https://drive.google.com/file/d/1WMkCHHXrimzi4tXqW-VeCKt0LAIRZtgC/view?usp=sharing" TargetMode="External"/><Relationship Id="rId6" Type="http://schemas.openxmlformats.org/officeDocument/2006/relationships/hyperlink" Target="https://drive.google.com/file/d/1zwS5u-TJN50QF47woEu45rtxNHNUDwET/view?usp=drivesdk" TargetMode="External"/><Relationship Id="rId146" Type="http://schemas.openxmlformats.org/officeDocument/2006/relationships/hyperlink" Target="https://drive.google.com/file/d/1K-JT5K0Yom5bXFWB0wkcPpoCXLKfTzpe/view?usp=sharing" TargetMode="External"/><Relationship Id="rId267" Type="http://schemas.openxmlformats.org/officeDocument/2006/relationships/hyperlink" Target="https://drive.google.com/file/d/1cWXe9nGSyQnOIbHLhwG2nkvCsNlKCmMs/view?usp=drive_link" TargetMode="External"/><Relationship Id="rId7" Type="http://schemas.openxmlformats.org/officeDocument/2006/relationships/hyperlink" Target="https://drive.google.com/file/d/1lq3IDAg13eknDvP9t9asJQljJQw-3j-w/view?usp=sharing" TargetMode="External"/><Relationship Id="rId145" Type="http://schemas.openxmlformats.org/officeDocument/2006/relationships/hyperlink" Target="http://www.linkedin.com/in/dylancraver2005" TargetMode="External"/><Relationship Id="rId266" Type="http://schemas.openxmlformats.org/officeDocument/2006/relationships/hyperlink" Target="https://drive.google.com/drive/folders/1EjRAQkK8xXRAu-aFe4shiQ7Z9kWLsrb9?usp=sharing" TargetMode="External"/><Relationship Id="rId8" Type="http://schemas.openxmlformats.org/officeDocument/2006/relationships/hyperlink" Target="https://drive.google.com/file/d/1RQoLoxeF9bAs5oAVPDSqpd4OrQ8mtB4G/view?usp=sharing" TargetMode="External"/><Relationship Id="rId144" Type="http://schemas.openxmlformats.org/officeDocument/2006/relationships/hyperlink" Target="https://drive.google.com/file/d/1yJsF48cxRYipKyQC0wCpoerC7UykkZgF/view?usp=sharing" TargetMode="External"/><Relationship Id="rId265" Type="http://schemas.openxmlformats.org/officeDocument/2006/relationships/hyperlink" Target="https://drive.google.com/file/d/17zIW34TMC7vR3pLUtkrBdFySTSHyUJIb/view?usp=drivesdk" TargetMode="External"/><Relationship Id="rId73" Type="http://schemas.openxmlformats.org/officeDocument/2006/relationships/hyperlink" Target="https://katiehanni.github.io/portfolio/" TargetMode="External"/><Relationship Id="rId72" Type="http://schemas.openxmlformats.org/officeDocument/2006/relationships/hyperlink" Target="https://m1petersen.github.io/Resume.pdf" TargetMode="External"/><Relationship Id="rId75" Type="http://schemas.openxmlformats.org/officeDocument/2006/relationships/hyperlink" Target="https://drive.google.com/file/d/1VdHkmLnwd8CizQ4I0yJrxgqZx6BTkc9Y/view?usp=drive_link" TargetMode="External"/><Relationship Id="rId74" Type="http://schemas.openxmlformats.org/officeDocument/2006/relationships/hyperlink" Target="https://drive.google.com/file/d/1TXsvMw9DzVHYRzBoyxjH3doXIf_HJFjG/view?usp=drivesdk" TargetMode="External"/><Relationship Id="rId77" Type="http://schemas.openxmlformats.org/officeDocument/2006/relationships/hyperlink" Target="https://drive.google.com/file/d/1HIlvsPhkXjsYxl5QlptyKpPQk9Q3PHKb/view?usp=sharing" TargetMode="External"/><Relationship Id="rId260" Type="http://schemas.openxmlformats.org/officeDocument/2006/relationships/hyperlink" Target="https://drive.google.com/file/d/19EYHyQVG9Yl7gEzMGg-OJHRxyzVDVu9g/view?usp=sharing" TargetMode="External"/><Relationship Id="rId76" Type="http://schemas.openxmlformats.org/officeDocument/2006/relationships/hyperlink" Target="https://empty-cloud-59.linkyhost.com" TargetMode="External"/><Relationship Id="rId79" Type="http://schemas.openxmlformats.org/officeDocument/2006/relationships/hyperlink" Target="https://drive.google.com/file/d/1cqvycmUxQDlQYAZtSn2OWPLIyHBufNaz/view?usp=sharing" TargetMode="External"/><Relationship Id="rId78" Type="http://schemas.openxmlformats.org/officeDocument/2006/relationships/hyperlink" Target="https://drive.google.com/file/d/1KBjR998xfMbT4T4EqSoeDk9T_xa_0rRX/view?usp=sharing" TargetMode="External"/><Relationship Id="rId71" Type="http://schemas.openxmlformats.org/officeDocument/2006/relationships/hyperlink" Target="https://drive.google.com/file/d/1lDAPC4XPetBJhNzxBi6-w2DIroj0S3ZA/view?usp=sharing" TargetMode="External"/><Relationship Id="rId70" Type="http://schemas.openxmlformats.org/officeDocument/2006/relationships/hyperlink" Target="https://scarlett-scott.tiiny.site" TargetMode="External"/><Relationship Id="rId139" Type="http://schemas.openxmlformats.org/officeDocument/2006/relationships/hyperlink" Target="https://drive.google.com/file/d/1XtDg4KGtE893pwD_N7P_YWTsbKyrbjMd/view?usp=sharing" TargetMode="External"/><Relationship Id="rId138" Type="http://schemas.openxmlformats.org/officeDocument/2006/relationships/hyperlink" Target="https://docs.google.com/document/d/1leWOjoQq0UDgeSo0ROzWDNEB0PPbwWXkdl3FBPl0Pr0/edit?usp=sharing" TargetMode="External"/><Relationship Id="rId259" Type="http://schemas.openxmlformats.org/officeDocument/2006/relationships/hyperlink" Target="https://drive.google.com/drive/folders/1eo_BSueTKYWp9HH4uJr5z3p0S9GO8cVl?usp=sharing" TargetMode="External"/><Relationship Id="rId137" Type="http://schemas.openxmlformats.org/officeDocument/2006/relationships/hyperlink" Target="https://xiaocheng05.github.io/portfolio/resume/" TargetMode="External"/><Relationship Id="rId258" Type="http://schemas.openxmlformats.org/officeDocument/2006/relationships/hyperlink" Target="https://docs.google.com/document/d/17VDf1fGmkRS5HL7DX-SGfo319_vcuXHL/edit?usp=sharing&amp;ouid=112728075262023125026&amp;rtpof=true&amp;sd=true" TargetMode="External"/><Relationship Id="rId132" Type="http://schemas.openxmlformats.org/officeDocument/2006/relationships/hyperlink" Target="https://drive.google.com/file/d/1D4fqY3hkOCTOitT_XyTCdta7ILP8DWET/view?usp=sharing" TargetMode="External"/><Relationship Id="rId253" Type="http://schemas.openxmlformats.org/officeDocument/2006/relationships/hyperlink" Target="https://drive.google.com/file/d/1SQx6w0PwEizFu_KKcrQXaVSu1wS_0OSI/view?usp=sharing" TargetMode="External"/><Relationship Id="rId131" Type="http://schemas.openxmlformats.org/officeDocument/2006/relationships/hyperlink" Target="https://drive.google.com/file/d/1M_B6aN32IkQ-76nzgjh4m_KMEbeF3ZKq/view?usp=sharing" TargetMode="External"/><Relationship Id="rId252" Type="http://schemas.openxmlformats.org/officeDocument/2006/relationships/hyperlink" Target="https://drive.google.com/file/d/1a_fI7jS0knvClSMorfX7QNkiSQcZ_LNp/view?usp=sharing" TargetMode="External"/><Relationship Id="rId130" Type="http://schemas.openxmlformats.org/officeDocument/2006/relationships/hyperlink" Target="https://docs.google.com/document/d/1gDh-1JNhFIp4N8WLWZv_AkLXx7JTWtMA9_czRY-tV-g/edit?usp=sharing" TargetMode="External"/><Relationship Id="rId251" Type="http://schemas.openxmlformats.org/officeDocument/2006/relationships/hyperlink" Target="https://drive.google.com/file/d/1Xv4MAeEmpgIugQOtUZ8aZf439VFCoD4_/view?usp=sharing" TargetMode="External"/><Relationship Id="rId250" Type="http://schemas.openxmlformats.org/officeDocument/2006/relationships/hyperlink" Target="https://drive.google.com/file/d/1iyduZ6SbZ5ZmyK0LpZuQZodnaLvt3-sb/view?usp=sharing" TargetMode="External"/><Relationship Id="rId136" Type="http://schemas.openxmlformats.org/officeDocument/2006/relationships/hyperlink" Target="https://pranavrajaram.com/Pranav_Rajaram_Resume.pdf" TargetMode="External"/><Relationship Id="rId257" Type="http://schemas.openxmlformats.org/officeDocument/2006/relationships/hyperlink" Target="https://drive.google.com/file/d/1iXSQgaSCNZz6_9rM6H9HxNh-SwUSc8ba/view?usp=sharing" TargetMode="External"/><Relationship Id="rId135" Type="http://schemas.openxmlformats.org/officeDocument/2006/relationships/hyperlink" Target="https://drive.google.com/file/d/1R4L0XQiJPKWOpHoXkp_kxkMfqERqB7TX/view?usp=sharing" TargetMode="External"/><Relationship Id="rId256" Type="http://schemas.openxmlformats.org/officeDocument/2006/relationships/hyperlink" Target="https://www.overleaf.com/read/spzkbskjdhvn" TargetMode="External"/><Relationship Id="rId134" Type="http://schemas.openxmlformats.org/officeDocument/2006/relationships/hyperlink" Target="https://drive.google.com/file/d/1LjwzRjZVgFY2u4YpKfmbfkD2lKzNSQpV/view?usp=sharing" TargetMode="External"/><Relationship Id="rId255" Type="http://schemas.openxmlformats.org/officeDocument/2006/relationships/hyperlink" Target="https://frank-junran-yang.github.io/Personal-Page/" TargetMode="External"/><Relationship Id="rId133" Type="http://schemas.openxmlformats.org/officeDocument/2006/relationships/hyperlink" Target="https://coco-juice.github.io/portfolio/resume.html" TargetMode="External"/><Relationship Id="rId254" Type="http://schemas.openxmlformats.org/officeDocument/2006/relationships/hyperlink" Target="https://mihirnvad.github.io/portfolio/resume/" TargetMode="External"/><Relationship Id="rId62" Type="http://schemas.openxmlformats.org/officeDocument/2006/relationships/hyperlink" Target="https://docs.google.com/document/d/1OsHhWCA0VC16uGyS1wZjfn6bvzHa5yN5b0wMOo8Eh0A/edit?tab=t.y3s7iln4gpyh" TargetMode="External"/><Relationship Id="rId61" Type="http://schemas.openxmlformats.org/officeDocument/2006/relationships/hyperlink" Target="https://docs.google.com/document/d/1CZJIZsuPFdzIa9Aa-qzwklgV_XmzVfIZ/edit?usp=sharing&amp;ouid=113236019755098933288&amp;rtpof=true&amp;sd=true" TargetMode="External"/><Relationship Id="rId64" Type="http://schemas.openxmlformats.org/officeDocument/2006/relationships/hyperlink" Target="https://maayahga.github.io/Resume/" TargetMode="External"/><Relationship Id="rId63" Type="http://schemas.openxmlformats.org/officeDocument/2006/relationships/hyperlink" Target="https://drive.google.com/drive/folders/1L68-rtmzE-02ZVKiB_sH56QMmLlYt3b4?usp=sharing" TargetMode="External"/><Relationship Id="rId66" Type="http://schemas.openxmlformats.org/officeDocument/2006/relationships/hyperlink" Target="https://drive.google.com/file/d/1qY1Tr-6GW-SKgYCgf6ljmtcz2W_NqK7P/view?usp=sharing" TargetMode="External"/><Relationship Id="rId172" Type="http://schemas.openxmlformats.org/officeDocument/2006/relationships/hyperlink" Target="https://docs.google.com/document/d/10sHm9nT2hS-Otb-1JGVEfr2mL2x_LCdaC1wHROGP-_k/edit?usp=sharing" TargetMode="External"/><Relationship Id="rId293" Type="http://schemas.openxmlformats.org/officeDocument/2006/relationships/hyperlink" Target="https://www.overleaf.com/read/hrfwvpcczrqh" TargetMode="External"/><Relationship Id="rId65" Type="http://schemas.openxmlformats.org/officeDocument/2006/relationships/hyperlink" Target="https://drive.google.com/file/d/1ZBYM8lHyVzJ1goS2OXiwrNlbEI7tGGRs/view?usp=sharing" TargetMode="External"/><Relationship Id="rId171" Type="http://schemas.openxmlformats.org/officeDocument/2006/relationships/hyperlink" Target="https://drive.google.com/file/d/1jQWWk7mNw_XpgkBkUZrUS9sZ9pfd8ZWJ/view?usp=sharing" TargetMode="External"/><Relationship Id="rId292" Type="http://schemas.openxmlformats.org/officeDocument/2006/relationships/hyperlink" Target="https://drive.google.com/file/d/1h8amxaEymeZ80ooCI1jevX4bciidnJU-/view?usp=sharing" TargetMode="External"/><Relationship Id="rId68" Type="http://schemas.openxmlformats.org/officeDocument/2006/relationships/hyperlink" Target="https://canva.link/47yjrht8rvs6d3u" TargetMode="External"/><Relationship Id="rId170" Type="http://schemas.openxmlformats.org/officeDocument/2006/relationships/hyperlink" Target="https://drive.google.com/file/d/12RADHRuqmMxyXal_-Mu-zv9ybQ5mcRO4/view?usp=sharing" TargetMode="External"/><Relationship Id="rId291" Type="http://schemas.openxmlformats.org/officeDocument/2006/relationships/hyperlink" Target="https://drive.google.com/file/d/1eXRFjNFGvauK_piJ4PgV-WBtD3s7_Z7u/view?usp=sharing" TargetMode="External"/><Relationship Id="rId67" Type="http://schemas.openxmlformats.org/officeDocument/2006/relationships/hyperlink" Target="https://docs.google.com/document/d/12H_dfSY1xuTw5AzGJjdK4hHAgZ3nWSDfxSEbQdfyPPA/edit?usp=sharing" TargetMode="External"/><Relationship Id="rId290" Type="http://schemas.openxmlformats.org/officeDocument/2006/relationships/hyperlink" Target="https://docs.google.com/document/d/14u3lJN5CgD9C7tg8XzZjn0-9fgrK7r76/edit?usp=sharing&amp;ouid=101067110465667176222&amp;rtpof=true&amp;sd=true" TargetMode="External"/><Relationship Id="rId60" Type="http://schemas.openxmlformats.org/officeDocument/2006/relationships/hyperlink" Target="https://drive.google.com/file/d/1sDgGGYeyT5zwgDzj1ePmdArK9_MrICVf/view?usp=drive_link" TargetMode="External"/><Relationship Id="rId165" Type="http://schemas.openxmlformats.org/officeDocument/2006/relationships/hyperlink" Target="https://drive.google.com/file/d/1iG9NLemREkpRA29XYSICFmQ1XXhiEIeF/view?usp=sharing" TargetMode="External"/><Relationship Id="rId286" Type="http://schemas.openxmlformats.org/officeDocument/2006/relationships/hyperlink" Target="https://drive.google.com/file/d/1XIXJDGKr-Ce-4XEKgyHBJh59sgKtYNoc/view?usp=sharing" TargetMode="External"/><Relationship Id="rId69" Type="http://schemas.openxmlformats.org/officeDocument/2006/relationships/hyperlink" Target="https://ucsdcloud-my.sharepoint.com/:w:/g/personal/jading_ucsd_edu/IQAPKFzWqM4eRaEzHoPvOWnxAYwbbUSi0-2bZVTazKJK5Yg?e=UWAtsD" TargetMode="External"/><Relationship Id="rId164" Type="http://schemas.openxmlformats.org/officeDocument/2006/relationships/hyperlink" Target="https://docs.google.com/document/d/16PZR4iyuFzvxR_cAmyHwaJKgb3IgPPiwZBXJnv57kC4/edit?usp=sharing" TargetMode="External"/><Relationship Id="rId285" Type="http://schemas.openxmlformats.org/officeDocument/2006/relationships/hyperlink" Target="https://docs.google.com/document/d/1syEU76p8mSAGeJdcSgTW7waejkO_eFCc-POypNiSxtA/edit?usp=sharing" TargetMode="External"/><Relationship Id="rId163" Type="http://schemas.openxmlformats.org/officeDocument/2006/relationships/hyperlink" Target="https://drive.google.com/file/d/1L2dMBFjkyDoswRVK22LTbGPguhgNs0x3/view?usp=sharing" TargetMode="External"/><Relationship Id="rId284" Type="http://schemas.openxmlformats.org/officeDocument/2006/relationships/hyperlink" Target="https://docs.google.com/document/d/1Qv0V0IBd6Pvmwq6lTy-57SJxTOr_lWzyqh5EfLXH_20/edit?usp=sharing" TargetMode="External"/><Relationship Id="rId162" Type="http://schemas.openxmlformats.org/officeDocument/2006/relationships/hyperlink" Target="https://canva.link/fpyo5l8sp8yayxq" TargetMode="External"/><Relationship Id="rId283" Type="http://schemas.openxmlformats.org/officeDocument/2006/relationships/hyperlink" Target="https://drive.google.com/file/d/150LLcV4qILxlnnAC2qRzRNg4vhbmjQgt/view?usp=sharing" TargetMode="External"/><Relationship Id="rId169" Type="http://schemas.openxmlformats.org/officeDocument/2006/relationships/hyperlink" Target="https://drive.google.com/file/d/1VndDy7pVodVZ4U0wWqS8w_pD-E6X8g8z/view?usp=sharing" TargetMode="External"/><Relationship Id="rId168" Type="http://schemas.openxmlformats.org/officeDocument/2006/relationships/hyperlink" Target="https://wendydu1102.github.io/portfolio/" TargetMode="External"/><Relationship Id="rId289" Type="http://schemas.openxmlformats.org/officeDocument/2006/relationships/hyperlink" Target="https://nicolastoon.github.io/portfolio/resume.pdf" TargetMode="External"/><Relationship Id="rId167" Type="http://schemas.openxmlformats.org/officeDocument/2006/relationships/hyperlink" Target="https://docs.google.com/document/d/1coeKHDMCr2ssU7Tlpsk8euHDxAclnr5wH1cK6HqOY2w/edit?usp=sharing" TargetMode="External"/><Relationship Id="rId288" Type="http://schemas.openxmlformats.org/officeDocument/2006/relationships/hyperlink" Target="https://drive.google.com/file/d/1lLNnG14iRQcfFQfQ5_CvBJ__iODsl3QT/view?usp=drive_link" TargetMode="External"/><Relationship Id="rId166" Type="http://schemas.openxmlformats.org/officeDocument/2006/relationships/hyperlink" Target="https://docs.google.com/document/d/1S8LIoVl64nWTtMC_2LSrIO2bcm2_S6Ib6dd3Az_4HMY/edit?tab=t.0" TargetMode="External"/><Relationship Id="rId287" Type="http://schemas.openxmlformats.org/officeDocument/2006/relationships/hyperlink" Target="https://drive.google.com/file/d/1UPiaf786l54BFQYIQftGJ3St_N07oYqU/view?usp=sharing" TargetMode="External"/><Relationship Id="rId51" Type="http://schemas.openxmlformats.org/officeDocument/2006/relationships/hyperlink" Target="https://drive.google.com/file/d/1Xs4Ry4cJxlgStbdC1thaSvdxeCMBrS2N/view?usp=drive_link" TargetMode="External"/><Relationship Id="rId50" Type="http://schemas.openxmlformats.org/officeDocument/2006/relationships/hyperlink" Target="https://drive.google.com/file/d/1pSouX6WO17xIEOWdpEEkB_sbsVu3vDYu/view?usp=sharing" TargetMode="External"/><Relationship Id="rId53" Type="http://schemas.openxmlformats.org/officeDocument/2006/relationships/hyperlink" Target="https://drive.google.com/file/d/1uJFjsGsq7Ual8J0it1SBkC4rO04X1vBL/view?usp=sharing" TargetMode="External"/><Relationship Id="rId52" Type="http://schemas.openxmlformats.org/officeDocument/2006/relationships/hyperlink" Target="https://docs.google.com/document/d/1ODt9R_nM6_qo3HkJwN8sAqnldlxSv6D_6_Gn4MgY9CU/edit?usp=sharing" TargetMode="External"/><Relationship Id="rId55" Type="http://schemas.openxmlformats.org/officeDocument/2006/relationships/hyperlink" Target="https://jscalderon204.github.io/" TargetMode="External"/><Relationship Id="rId161" Type="http://schemas.openxmlformats.org/officeDocument/2006/relationships/hyperlink" Target="https://salina-tang.github.io/portfolio/resume/" TargetMode="External"/><Relationship Id="rId282" Type="http://schemas.openxmlformats.org/officeDocument/2006/relationships/hyperlink" Target="https://drive.google.com/file/d/1pGqkKTstJ7F5IsPWuT5OpsoeC7gN-KY_/view?usp=sharing" TargetMode="External"/><Relationship Id="rId54" Type="http://schemas.openxmlformats.org/officeDocument/2006/relationships/hyperlink" Target="https://ryanlindberg.dev/" TargetMode="External"/><Relationship Id="rId160" Type="http://schemas.openxmlformats.org/officeDocument/2006/relationships/hyperlink" Target="https://drive.google.com/file/d/1DFV1yWdz6-yonMIhD815N10XtRytCj1e/view?usp=sharing" TargetMode="External"/><Relationship Id="rId281" Type="http://schemas.openxmlformats.org/officeDocument/2006/relationships/hyperlink" Target="https://drive.google.com/file/d/1Gq_48s8g8mKUIlyOOSAM3OXhAIblTyrH/view?usp=sharing" TargetMode="External"/><Relationship Id="rId57" Type="http://schemas.openxmlformats.org/officeDocument/2006/relationships/hyperlink" Target="https://drive.google.com/file/d/174XekynJ-ZrHz3xdoC_aQ75vQkYvj8qA/view?usp=sharing" TargetMode="External"/><Relationship Id="rId280" Type="http://schemas.openxmlformats.org/officeDocument/2006/relationships/hyperlink" Target="https://docs.google.com/document/d/1SfVKcWdBbIdEmdeXxRxLSlTuyjbTnzsvJdmgQeEq2YY/edit?usp=sharing" TargetMode="External"/><Relationship Id="rId56" Type="http://schemas.openxmlformats.org/officeDocument/2006/relationships/hyperlink" Target="https://drive.google.com/file/d/1fPS7M75j7eBwComcMBDnLO2CdbMvPsqM/view?usp=drivesdk" TargetMode="External"/><Relationship Id="rId159" Type="http://schemas.openxmlformats.org/officeDocument/2006/relationships/hyperlink" Target="https://drive.google.com/file/d/1jfPNftjdrrnB297Bv6AfTKI8CaXodmY8/view?usp=sharing" TargetMode="External"/><Relationship Id="rId59" Type="http://schemas.openxmlformats.org/officeDocument/2006/relationships/hyperlink" Target="https://drive.google.com/file/d/1KteIxoQkefwErT_a4bGaSgeV-hKX-CqZ/view?usp=drive_link" TargetMode="External"/><Relationship Id="rId154" Type="http://schemas.openxmlformats.org/officeDocument/2006/relationships/hyperlink" Target="https://drive.google.com/file/d/1s0K7SSc0USb1AZhB3k1qcvZFKsRsO-U9/view?usp=sharing" TargetMode="External"/><Relationship Id="rId275" Type="http://schemas.openxmlformats.org/officeDocument/2006/relationships/hyperlink" Target="https://xibahbah.github.io/porfolio/" TargetMode="External"/><Relationship Id="rId58" Type="http://schemas.openxmlformats.org/officeDocument/2006/relationships/hyperlink" Target="https://drive.google.com/file/d/19jn6r4NXtMeaQ0hHE_BMWCgMKdJrxggo/view?usp=sharing" TargetMode="External"/><Relationship Id="rId153" Type="http://schemas.openxmlformats.org/officeDocument/2006/relationships/hyperlink" Target="https://drive.google.com/file/d/1jS8JpspIpqXKvnCHo0fjtc18ke65ysnX/view?usp=sharing" TargetMode="External"/><Relationship Id="rId274" Type="http://schemas.openxmlformats.org/officeDocument/2006/relationships/hyperlink" Target="https://drive.google.com/file/d/1-Pgf4N89cfgSonPWIaySWuZG5nzdCqP2/view?usp=sharing" TargetMode="External"/><Relationship Id="rId152" Type="http://schemas.openxmlformats.org/officeDocument/2006/relationships/hyperlink" Target="https://drive.google.com/file/d/16u43IySxrBp_CGOzCw4P9zMS6lVOR3w_/view?usp=sharing" TargetMode="External"/><Relationship Id="rId273" Type="http://schemas.openxmlformats.org/officeDocument/2006/relationships/hyperlink" Target="https://docs.google.com/document/d/e/2PACX-1vQquPCtFJmtr8WI1wdG4ZzFjW2wcRVFtqgZyZfPGMnY_RINT3rUDa8SoPyK83acb1UvaA4ZBGNtF_2R/pub" TargetMode="External"/><Relationship Id="rId151" Type="http://schemas.openxmlformats.org/officeDocument/2006/relationships/hyperlink" Target="https://irisc113.github.io/portfolio/file/Chen_Iris_Resume.pdf" TargetMode="External"/><Relationship Id="rId272" Type="http://schemas.openxmlformats.org/officeDocument/2006/relationships/hyperlink" Target="https://drive.google.com/file/d/142vi4QTSEG28bHF7nAcmzbCdtV7-jFlQ/view?usp=sharing" TargetMode="External"/><Relationship Id="rId158" Type="http://schemas.openxmlformats.org/officeDocument/2006/relationships/hyperlink" Target="https://drive.google.com/file/d/1fe49py23R61ExwQHt2IwbOYehkri6Bn_/view?usp=sharing" TargetMode="External"/><Relationship Id="rId279" Type="http://schemas.openxmlformats.org/officeDocument/2006/relationships/hyperlink" Target="https://drive.google.com/file/d/1KxJSh4JKjNlcs-RJnPVI0uAiTX3DQ8kT/view?usp=sharing" TargetMode="External"/><Relationship Id="rId157" Type="http://schemas.openxmlformats.org/officeDocument/2006/relationships/hyperlink" Target="https://drive.google.com/file/d/1-YreAvbcaory1PvjGo0AVmOMEJulf2SB/view?usp=sharing" TargetMode="External"/><Relationship Id="rId278" Type="http://schemas.openxmlformats.org/officeDocument/2006/relationships/hyperlink" Target="https://drive.google.com/file/d/1t3FMs0A7DzluxZj8u2d4L3K8SD9haXXJ/view?usp=sharing" TargetMode="External"/><Relationship Id="rId156" Type="http://schemas.openxmlformats.org/officeDocument/2006/relationships/hyperlink" Target="https://atherv.com/Atherv_Vidhate_Resume.pdf" TargetMode="External"/><Relationship Id="rId277" Type="http://schemas.openxmlformats.org/officeDocument/2006/relationships/hyperlink" Target="https://drive.google.com/file/d/1piytRagYe-1g0XPSt2gdLRTr8c-6mdL2/view?usp=sharing" TargetMode="External"/><Relationship Id="rId155" Type="http://schemas.openxmlformats.org/officeDocument/2006/relationships/hyperlink" Target="https://drive.google.com/file/d/1qhoHJpKaoG5SyzvCaq0VR1hSjqpirlhs/view?usp=sharing" TargetMode="External"/><Relationship Id="rId276" Type="http://schemas.openxmlformats.org/officeDocument/2006/relationships/hyperlink" Target="https://drive.google.com/file/d/1SlZzLIVf6GSn9BD0oPrld74sPb7jDrje/view?usp=sharing" TargetMode="External"/><Relationship Id="rId107" Type="http://schemas.openxmlformats.org/officeDocument/2006/relationships/hyperlink" Target="https://drive.google.com/file/d/17zZw7KDW63uGhvntFa2U_zPOAM6MFCgM/view?usp=sharing" TargetMode="External"/><Relationship Id="rId228" Type="http://schemas.openxmlformats.org/officeDocument/2006/relationships/hyperlink" Target="https://drive.google.com/file/d/1_0m4sP8E1miNOm_4KYaQd2ASonbIs3YP/view?usp=drive_link" TargetMode="External"/><Relationship Id="rId106" Type="http://schemas.openxmlformats.org/officeDocument/2006/relationships/hyperlink" Target="https://drive.google.com/file/d/1gu8oLtCbWdUsynawdgGMY5HR0LlUlnry/view?usp=drive_link" TargetMode="External"/><Relationship Id="rId227" Type="http://schemas.openxmlformats.org/officeDocument/2006/relationships/hyperlink" Target="https://drive.google.com/file/d/1xykMUJB4KeYVrysmEJRx8nen61HEezkU/view?usp=drivesdk" TargetMode="External"/><Relationship Id="rId105" Type="http://schemas.openxmlformats.org/officeDocument/2006/relationships/hyperlink" Target="https://drive.google.com/file/d/1Pzb-8L_gb959JXR8482PZCz_JXiPZmwP/view?usp=sharing" TargetMode="External"/><Relationship Id="rId226" Type="http://schemas.openxmlformats.org/officeDocument/2006/relationships/hyperlink" Target="https://docs.google.com/document/d/10ya90Rgfl6HI5ObowlBqY1F1lgdJW_hVVhBpZfmb0dM/edit?usp=sharing" TargetMode="External"/><Relationship Id="rId104" Type="http://schemas.openxmlformats.org/officeDocument/2006/relationships/hyperlink" Target="https://nicholas-chann.github.io/portfolio/" TargetMode="External"/><Relationship Id="rId225" Type="http://schemas.openxmlformats.org/officeDocument/2006/relationships/hyperlink" Target="https://drive.google.com/file/d/1zJjNlm1qLWTOr1qLTD7WWkOfb7BpGcAa/view?usp=sharing" TargetMode="External"/><Relationship Id="rId109" Type="http://schemas.openxmlformats.org/officeDocument/2006/relationships/hyperlink" Target="https://ctu-tls.github.io/portfolio/" TargetMode="External"/><Relationship Id="rId108" Type="http://schemas.openxmlformats.org/officeDocument/2006/relationships/hyperlink" Target="https://docs.google.com/document/d/147O00Umd7I0XBCBYhqMTy9p4e5VbbqdqaI0OLoZNJOc/edit?usp=sharing" TargetMode="External"/><Relationship Id="rId229" Type="http://schemas.openxmlformats.org/officeDocument/2006/relationships/hyperlink" Target="https://drive.google.com/file/d/1RJCtyhcpdk1QcTccrmmEmqSqUBH0iFgv/view?usp=sharing" TargetMode="External"/><Relationship Id="rId220" Type="http://schemas.openxmlformats.org/officeDocument/2006/relationships/hyperlink" Target="https://drive.google.com/file/d/1R7DYEt4FWGQbX_17BX9huizPl55VeiBx/view?usp=drivesdk" TargetMode="External"/><Relationship Id="rId103" Type="http://schemas.openxmlformats.org/officeDocument/2006/relationships/hyperlink" Target="https://jyepez26.github.io/personal-page/index.html" TargetMode="External"/><Relationship Id="rId224" Type="http://schemas.openxmlformats.org/officeDocument/2006/relationships/hyperlink" Target="https://docs.google.com/document/d/1ZDx0G4urf-0tMZrS09Mm1j1v2rxYkVUnz44sVbKMg_E/edit?tab=t.0" TargetMode="External"/><Relationship Id="rId102" Type="http://schemas.openxmlformats.org/officeDocument/2006/relationships/hyperlink" Target="https://drive.google.com/file/d/1RhNGwZ8l-9slNUknoNIIxAwyAOba-ov4/view?usp=sharing" TargetMode="External"/><Relationship Id="rId223" Type="http://schemas.openxmlformats.org/officeDocument/2006/relationships/hyperlink" Target="https://drive.google.com/file/d/1JgdnjCYAM62s3kpOTjjrb21NUCNCprUE/view?usp=sharing" TargetMode="External"/><Relationship Id="rId101" Type="http://schemas.openxmlformats.org/officeDocument/2006/relationships/hyperlink" Target="https://www.overleaf.com/read/dmthzmkrrbgq" TargetMode="External"/><Relationship Id="rId222" Type="http://schemas.openxmlformats.org/officeDocument/2006/relationships/hyperlink" Target="https://docs.google.com/document/d/1lnYu80D7YnvP8AIv7MAfjl9sfx_cq3m76mLZcbOLVjE/edit?usp=sharing" TargetMode="External"/><Relationship Id="rId100" Type="http://schemas.openxmlformats.org/officeDocument/2006/relationships/hyperlink" Target="https://drive.google.com/file/d/16gB8jmR3u37MaAChV6RXNDXxCVl6yjOs/view?usp=sharing" TargetMode="External"/><Relationship Id="rId221" Type="http://schemas.openxmlformats.org/officeDocument/2006/relationships/hyperlink" Target="https://drive.google.com/file/d/1wI8LfahZbnnGsjtCNYXd7-TOdx0OStiW/view" TargetMode="External"/><Relationship Id="rId217" Type="http://schemas.openxmlformats.org/officeDocument/2006/relationships/hyperlink" Target="https://drive.google.com/file/d/1gypUX_QbBuFg_WpgxR9c5aAtNiD80gvs/view?usp=sharing" TargetMode="External"/><Relationship Id="rId216" Type="http://schemas.openxmlformats.org/officeDocument/2006/relationships/hyperlink" Target="https://uzairgheewala.com/cv" TargetMode="External"/><Relationship Id="rId215" Type="http://schemas.openxmlformats.org/officeDocument/2006/relationships/hyperlink" Target="https://drive.google.com/file/d/1qy_sdEPD8cA_6jCDDR9m6u-1SceSDfPf/view?usp=sharing" TargetMode="External"/><Relationship Id="rId214" Type="http://schemas.openxmlformats.org/officeDocument/2006/relationships/hyperlink" Target="http://linkedin.com/in/sohan-shingade/" TargetMode="External"/><Relationship Id="rId219" Type="http://schemas.openxmlformats.org/officeDocument/2006/relationships/hyperlink" Target="https://drive.google.com/file/d/1vDMFImEdSVeW_CA-i_suu2mvLRVHGsa7/view?usp=sharing" TargetMode="External"/><Relationship Id="rId218" Type="http://schemas.openxmlformats.org/officeDocument/2006/relationships/hyperlink" Target="https://docs.google.com/document/d/1AwHSKkLadM8skCBkzL8aOT4bPzzTlLIU/edit?usp=sharing&amp;ouid=103917412905842773827&amp;rtpof=true&amp;sd=true" TargetMode="External"/><Relationship Id="rId213" Type="http://schemas.openxmlformats.org/officeDocument/2006/relationships/hyperlink" Target="https://drive.google.com/file/d/1kfXEt9sp-yROfanQI3BFb9XgPlJo6aOx/view?usp=sharing" TargetMode="External"/><Relationship Id="rId212" Type="http://schemas.openxmlformats.org/officeDocument/2006/relationships/hyperlink" Target="https://drive.google.com/file/d/15NxZWug7aRDlineX8psUzBlZHnua1Vac/view?usp=sharing" TargetMode="External"/><Relationship Id="rId211" Type="http://schemas.openxmlformats.org/officeDocument/2006/relationships/hyperlink" Target="https://drive.google.com/file/d/1P5s-2zxAmmBt3eKhgrNJm6g0bhBA2RAp/view?usp=sharing" TargetMode="External"/><Relationship Id="rId210" Type="http://schemas.openxmlformats.org/officeDocument/2006/relationships/hyperlink" Target="https://drive.google.com/file/d/1Xbjv6JuZhscpDSSNE6AL45jBYWARuub6/view?usp=sharing" TargetMode="External"/><Relationship Id="rId129" Type="http://schemas.openxmlformats.org/officeDocument/2006/relationships/hyperlink" Target="https://drive.google.com/file/d/1WlJKVt1I9WW3TRityOK7K0tsCLo2FOOe/view?usp=sharing" TargetMode="External"/><Relationship Id="rId128" Type="http://schemas.openxmlformats.org/officeDocument/2006/relationships/hyperlink" Target="https://docs.google.com/document/d/1Mik1FiTG5c54elCmCHfDX7uPwZ6x3q46/edit?usp=sharing&amp;ouid=107664746494334677361&amp;rtpof=true&amp;sd=true" TargetMode="External"/><Relationship Id="rId249" Type="http://schemas.openxmlformats.org/officeDocument/2006/relationships/hyperlink" Target="https://www.overleaf.com/read/sgfjbcscfjtb" TargetMode="External"/><Relationship Id="rId127" Type="http://schemas.openxmlformats.org/officeDocument/2006/relationships/hyperlink" Target="https://drive.google.com/drive/folders/17gErsDyAnPBCVWuiexCOs14Cm_DWg5gC?usp=sharing" TargetMode="External"/><Relationship Id="rId248" Type="http://schemas.openxmlformats.org/officeDocument/2006/relationships/hyperlink" Target="https://docs.google.com/document/d/1qtBNmS-2Qa0qVXSSS93y_lIP3QKLD1og/edit?usp=sharing&amp;ouid=112179210653539481119&amp;rtpof=true&amp;sd=true" TargetMode="External"/><Relationship Id="rId126" Type="http://schemas.openxmlformats.org/officeDocument/2006/relationships/hyperlink" Target="https://drive.google.com/file/d/1Yi1v1hGd5BJLhFFpMmptSSReQKHm6VP2/view?usp=sharing" TargetMode="External"/><Relationship Id="rId247" Type="http://schemas.openxmlformats.org/officeDocument/2006/relationships/hyperlink" Target="https://drive.google.com/file/d/1mp-CsbLz28TiYZeu1Qht1AFrX1Cfpg8D/view?usp=drivesdk" TargetMode="External"/><Relationship Id="rId121" Type="http://schemas.openxmlformats.org/officeDocument/2006/relationships/hyperlink" Target="https://drive.google.com/file/d/1Jk7TYGx6AqMzkRpvELSxCGjW3AIb8uEk/view?usp=sharing" TargetMode="External"/><Relationship Id="rId242" Type="http://schemas.openxmlformats.org/officeDocument/2006/relationships/hyperlink" Target="https://jul187-creator.github.io/portfolio/resume/" TargetMode="External"/><Relationship Id="rId120" Type="http://schemas.openxmlformats.org/officeDocument/2006/relationships/hyperlink" Target="https://saharzahir.github.io/Portfolio/index.html" TargetMode="External"/><Relationship Id="rId241" Type="http://schemas.openxmlformats.org/officeDocument/2006/relationships/hyperlink" Target="https://drive.google.com/file/d/1fDK-ZE3n4I0TQx4oyGJLK6M22QRKC84f/view?usp=sharing" TargetMode="External"/><Relationship Id="rId240" Type="http://schemas.openxmlformats.org/officeDocument/2006/relationships/hyperlink" Target="https://drive.google.com/file/d/1KrOenmBpxeg0CTAeOI8T36AJJN3q0uO-/view" TargetMode="External"/><Relationship Id="rId125" Type="http://schemas.openxmlformats.org/officeDocument/2006/relationships/hyperlink" Target="https://drive.google.com/file/d/1bh9-HDHJvambd5V_zUkh5ug5n8FBozCr/view?usp=sharing" TargetMode="External"/><Relationship Id="rId246" Type="http://schemas.openxmlformats.org/officeDocument/2006/relationships/hyperlink" Target="https://drive.google.com/file/d/1pTWqg6X_PgXCeiY0qQC0nRBUYUFg_OUz/view?usp=sharing" TargetMode="External"/><Relationship Id="rId124" Type="http://schemas.openxmlformats.org/officeDocument/2006/relationships/hyperlink" Target="https://docs.google.com/document/d/1tqwXvcnkJhlQ8tevFw_eHUsq0gz_8YiLfkKOAochQTw/edit?usp=sharing" TargetMode="External"/><Relationship Id="rId245" Type="http://schemas.openxmlformats.org/officeDocument/2006/relationships/hyperlink" Target="https://docs.google.com/document/d/1IvFzzm2TR6WDVtKDdg1C1W_SdEzyYGByizlhjbmrHd0/edit?usp=sharing" TargetMode="External"/><Relationship Id="rId123" Type="http://schemas.openxmlformats.org/officeDocument/2006/relationships/hyperlink" Target="https://drive.google.com/file/d/18NhA19Am4cHB89K4qo8STtNRUrCmLrhG/view?usp=sharing" TargetMode="External"/><Relationship Id="rId244" Type="http://schemas.openxmlformats.org/officeDocument/2006/relationships/hyperlink" Target="https://drive.google.com/file/d/15XCXEjTPZWEL_gY04zjHZWHBK5hCA0Z7/view?usp=sharing" TargetMode="External"/><Relationship Id="rId122" Type="http://schemas.openxmlformats.org/officeDocument/2006/relationships/hyperlink" Target="https://docs.google.com/document/d/1BYXtGaajUMFcAkoj1IhQw7AjXLigWXLpYTTu3vBE6lI/edit?usp=sharing" TargetMode="External"/><Relationship Id="rId243" Type="http://schemas.openxmlformats.org/officeDocument/2006/relationships/hyperlink" Target="http://www.prabhjass.com" TargetMode="External"/><Relationship Id="rId95" Type="http://schemas.openxmlformats.org/officeDocument/2006/relationships/hyperlink" Target="https://docs.google.com/document/d/1t2bryKaiHNX4lbiq1acFJZQLJE53A2fw8Y2Zww-_cWQ/edit?usp=sharing" TargetMode="External"/><Relationship Id="rId94" Type="http://schemas.openxmlformats.org/officeDocument/2006/relationships/hyperlink" Target="https://docs.google.com/document/d/1m_6w2jshW_L9DWLIbqm0CPbM6LYZzQozB7VL0pmuhVk/edit?tab=t.0" TargetMode="External"/><Relationship Id="rId97" Type="http://schemas.openxmlformats.org/officeDocument/2006/relationships/hyperlink" Target="https://docs.google.com/document/d/1_mWDJgILGIRMeAD2VSpNJQtpGjXTZZK1uS_no24SjA8/edit?usp=sharing" TargetMode="External"/><Relationship Id="rId96" Type="http://schemas.openxmlformats.org/officeDocument/2006/relationships/hyperlink" Target="https://docs.google.com/document/d/1xHcSBfIRQ6GoaNUk1ExqDFSEFhRLnFrKOSvrQpHL4tY/edit?usp=sharing" TargetMode="External"/><Relationship Id="rId99" Type="http://schemas.openxmlformats.org/officeDocument/2006/relationships/hyperlink" Target="https://drive.google.com/file/d/1xThigWfSt3YMoascdpfN4CPJL_yGmaxJ/view?usp=sharing" TargetMode="External"/><Relationship Id="rId98" Type="http://schemas.openxmlformats.org/officeDocument/2006/relationships/hyperlink" Target="https://drive.google.com/file/d/146nXCJmwM8IT1YvoyqwhsuwwDkMNhBda/view?usp=sharing" TargetMode="External"/><Relationship Id="rId91" Type="http://schemas.openxmlformats.org/officeDocument/2006/relationships/hyperlink" Target="https://drive.google.com/file/d/1KML4VI0U39cHjuuCRXWAmripuLO5gNFf/view" TargetMode="External"/><Relationship Id="rId90" Type="http://schemas.openxmlformats.org/officeDocument/2006/relationships/hyperlink" Target="https://docs.google.com/document/d/1NHIf6737Oeb1odE3XBb-oOJ8h1IynRMzebFsGiq1XL8/edit?usp=sharing/" TargetMode="External"/><Relationship Id="rId93" Type="http://schemas.openxmlformats.org/officeDocument/2006/relationships/hyperlink" Target="https://tyism.com/lib/resume.pdf" TargetMode="External"/><Relationship Id="rId92" Type="http://schemas.openxmlformats.org/officeDocument/2006/relationships/hyperlink" Target="https://docs.google.com/document/d/1TM5SKnBAr8q36RFxL0u4msPfsxShibbtNJOA66IuMCM/edit?usp=sharing" TargetMode="External"/><Relationship Id="rId118" Type="http://schemas.openxmlformats.org/officeDocument/2006/relationships/hyperlink" Target="https://docs.google.com/document/d/1wtErcB7EkTuZinQRmG7DelPB1RNDpo-WnO5O_R0TdCg/edit?usp=sharing" TargetMode="External"/><Relationship Id="rId239" Type="http://schemas.openxmlformats.org/officeDocument/2006/relationships/hyperlink" Target="https://drive.google.com/file/d/1zex57zMe-bzzSAXBEfbiVh6aOyr0FdE9/view?usp=sharing" TargetMode="External"/><Relationship Id="rId117" Type="http://schemas.openxmlformats.org/officeDocument/2006/relationships/hyperlink" Target="https://drive.google.com/file/d/1elcWnGi-HONjIKc2mLhWSfVPxg4Od0Ae/view?usp=sharing" TargetMode="External"/><Relationship Id="rId238" Type="http://schemas.openxmlformats.org/officeDocument/2006/relationships/hyperlink" Target="https://docs.google.com/document/d/1W6x4xyDV6BxsaafhppavrRyOaiB8L7KIWeEQHxOz-58/edit?usp=sharing" TargetMode="External"/><Relationship Id="rId116" Type="http://schemas.openxmlformats.org/officeDocument/2006/relationships/hyperlink" Target="https://drive.google.com/file/d/1NPAeGMSFvEQSAZh7avJZx0Giwm57JxAg/view?usp=sharing" TargetMode="External"/><Relationship Id="rId237" Type="http://schemas.openxmlformats.org/officeDocument/2006/relationships/hyperlink" Target="https://drive.google.com/file/d/1Mv68d39xJyhUMY_vkBi6GMPvtNidWUd-/view?usp=sharing" TargetMode="External"/><Relationship Id="rId115" Type="http://schemas.openxmlformats.org/officeDocument/2006/relationships/hyperlink" Target="https://drive.google.com/file/d/1ESfpf4rb9w32US9ZNJzbvY3VG3pIiCuw/view?usp=sharing" TargetMode="External"/><Relationship Id="rId236" Type="http://schemas.openxmlformats.org/officeDocument/2006/relationships/hyperlink" Target="https://drive.google.com/file/d/1CsDSjogO6_SvP7WVKDw-PdkSLb4prZ_n/view?usp=sharing" TargetMode="External"/><Relationship Id="rId119" Type="http://schemas.openxmlformats.org/officeDocument/2006/relationships/hyperlink" Target="https://docs.google.com/document/d/1L31Luql1SjPhouIx37WyyadT4-Nq03XOlokotGXJYCs/edit?usp=sharing" TargetMode="External"/><Relationship Id="rId110" Type="http://schemas.openxmlformats.org/officeDocument/2006/relationships/hyperlink" Target="https://drive.google.com/file/d/1Z-JxJ1IT0VRi-OphfscDWTBezzEaawRQ/view?usp=sharing" TargetMode="External"/><Relationship Id="rId231" Type="http://schemas.openxmlformats.org/officeDocument/2006/relationships/hyperlink" Target="https://drive.google.com/file/d/1VqB0pRnCLAkFUTA4AqnhbtloVtUa2ND4/view?usp=sharing" TargetMode="External"/><Relationship Id="rId230" Type="http://schemas.openxmlformats.org/officeDocument/2006/relationships/hyperlink" Target="https://docs.google.com/document/d/1vUOc1IkOea__gm2DfIVtiTLd1GurzdtqTGHQv5oVmS4/edit?usp=sharing" TargetMode="External"/><Relationship Id="rId114" Type="http://schemas.openxmlformats.org/officeDocument/2006/relationships/hyperlink" Target="https://drive.google.com/file/d/1l277XenvWDRDCiv6IvJixMqg4YidgHsx/view?usp=sharing" TargetMode="External"/><Relationship Id="rId235" Type="http://schemas.openxmlformats.org/officeDocument/2006/relationships/hyperlink" Target="https://drive.google.com/file/d/1laCsRUmJuCV9ygk1ngN0kRjhXwxzqe4e/view?usp=sharing" TargetMode="External"/><Relationship Id="rId113" Type="http://schemas.openxmlformats.org/officeDocument/2006/relationships/hyperlink" Target="https://drive.google.com/file/d/1wB1wrIRfDaNabSF18w27sNFFbRN4XE-l/view?usp=sharing" TargetMode="External"/><Relationship Id="rId234" Type="http://schemas.openxmlformats.org/officeDocument/2006/relationships/hyperlink" Target="https://drive.google.com/file/d/1by61uivdH76mEJUJjhB5MgRRM1i8KyHb/view?usp=sharing" TargetMode="External"/><Relationship Id="rId112" Type="http://schemas.openxmlformats.org/officeDocument/2006/relationships/hyperlink" Target="https://www.issacroy.com/Issac_Roy_DSC.pdf" TargetMode="External"/><Relationship Id="rId233" Type="http://schemas.openxmlformats.org/officeDocument/2006/relationships/hyperlink" Target="https://drive.google.com/file/d/1n7phcHTH8hlygobc0ZH-WHFHmcb0tZgA/view?usp=sharing" TargetMode="External"/><Relationship Id="rId111" Type="http://schemas.openxmlformats.org/officeDocument/2006/relationships/hyperlink" Target="https://drive.google.com/file/d/1N1oxe5E3sVTYzrZ7efM3Mrey5-IjMmcY/view?usp=sharing" TargetMode="External"/><Relationship Id="rId232" Type="http://schemas.openxmlformats.org/officeDocument/2006/relationships/hyperlink" Target="https://drive.google.com/file/d/18MeU99aSRtc5VHpCczxKRtwotAL5ChyU/view?usp=sharing" TargetMode="External"/><Relationship Id="rId302" Type="http://schemas.openxmlformats.org/officeDocument/2006/relationships/vmlDrawing" Target="../drawings/vmlDrawing1.vml"/><Relationship Id="rId301" Type="http://schemas.openxmlformats.org/officeDocument/2006/relationships/drawing" Target="../drawings/drawing1.xml"/><Relationship Id="rId300" Type="http://schemas.openxmlformats.org/officeDocument/2006/relationships/hyperlink" Target="http://automate.sa" TargetMode="External"/><Relationship Id="rId206" Type="http://schemas.openxmlformats.org/officeDocument/2006/relationships/hyperlink" Target="https://drive.google.com/file/d/1RofjG_TY08Gvov7Q_TKo_TaAlo2UDXAE/view?usp=sharing" TargetMode="External"/><Relationship Id="rId205" Type="http://schemas.openxmlformats.org/officeDocument/2006/relationships/hyperlink" Target="https://drive.google.com/file/d/1i8Ui96qS1-e0HnmHwpm0VzhN0kJG71eh/view?usp=sharing" TargetMode="External"/><Relationship Id="rId204" Type="http://schemas.openxmlformats.org/officeDocument/2006/relationships/hyperlink" Target="https://yutaolin018.github.io/portfolio/" TargetMode="External"/><Relationship Id="rId203" Type="http://schemas.openxmlformats.org/officeDocument/2006/relationships/hyperlink" Target="https://drive.google.com/file/d/1EbJ1nd9iGRjORYUJZHIecDLYQrRYUkJt/view?usp=sharing" TargetMode="External"/><Relationship Id="rId209" Type="http://schemas.openxmlformats.org/officeDocument/2006/relationships/hyperlink" Target="https://drive.google.com/file/d/1Uc1rNZn8P5YqxTP9Nwd8enwnu9Gtp-yU/view?usp=sharing" TargetMode="External"/><Relationship Id="rId208" Type="http://schemas.openxmlformats.org/officeDocument/2006/relationships/hyperlink" Target="https://docs.google.com/document/d/1sFKZji6bg-zk42jFPKlWDQOxa0XFehjfV_g_cau5sGc/edit?usp=sharing" TargetMode="External"/><Relationship Id="rId207" Type="http://schemas.openxmlformats.org/officeDocument/2006/relationships/hyperlink" Target="https://vdanielb.com/resumes/VincentiusDanielBudidharma_Resume_AIEng.pdf" TargetMode="External"/><Relationship Id="rId202" Type="http://schemas.openxmlformats.org/officeDocument/2006/relationships/hyperlink" Target="https://docs.google.com/document/d/1ZkUFx6eNLwZIlgcQ1NtRXzKoZVfYTopZ3sdI76Q5AFU/edit?usp=sharing" TargetMode="External"/><Relationship Id="rId201" Type="http://schemas.openxmlformats.org/officeDocument/2006/relationships/hyperlink" Target="https://drive.google.com/file/d/1eCFsgrvIKiemQm34biiK5pqu-f-ljZZP/view?usp=drive_link" TargetMode="External"/><Relationship Id="rId200" Type="http://schemas.openxmlformats.org/officeDocument/2006/relationships/hyperlink" Target="https://drive.google.com/file/d/1ckD7UP2piFHYb2-CqBQrBk8dj69tOyJM/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4.0"/>
    <col customWidth="1" min="4" max="4" width="18.13"/>
    <col customWidth="1" min="5" max="5" width="28.5"/>
    <col customWidth="1" min="6" max="7" width="8.5"/>
    <col customWidth="1" min="8" max="8" width="33.0"/>
    <col customWidth="1" min="9" max="9" width="7.75"/>
    <col customWidth="1" min="10" max="13" width="7.0"/>
    <col customWidth="1" min="14" max="16" width="6.75"/>
    <col customWidth="1" min="17" max="18" width="7.13"/>
    <col customWidth="1" min="19" max="24" width="18.88"/>
  </cols>
  <sheetData>
    <row r="1">
      <c r="A1" s="2" t="s">
        <v>1</v>
      </c>
      <c r="B1" s="4" t="s">
        <v>3</v>
      </c>
      <c r="C1" s="4" t="s">
        <v>0</v>
      </c>
      <c r="D1" s="6" t="s">
        <v>8</v>
      </c>
      <c r="E1" s="6" t="s">
        <v>10</v>
      </c>
      <c r="F1" s="4" t="s">
        <v>12</v>
      </c>
      <c r="G1" s="6" t="s">
        <v>13</v>
      </c>
      <c r="H1" s="4" t="s">
        <v>14</v>
      </c>
      <c r="I1" s="4" t="s">
        <v>15</v>
      </c>
      <c r="J1" s="4" t="s">
        <v>16</v>
      </c>
      <c r="K1" s="4" t="s">
        <v>17</v>
      </c>
      <c r="L1" s="4" t="s">
        <v>18</v>
      </c>
      <c r="M1" s="4" t="s">
        <v>19</v>
      </c>
      <c r="N1" s="4" t="s">
        <v>20</v>
      </c>
      <c r="O1" s="4" t="s">
        <v>21</v>
      </c>
      <c r="P1" s="4" t="s">
        <v>22</v>
      </c>
      <c r="Q1" s="4" t="s">
        <v>23</v>
      </c>
      <c r="R1" s="4" t="s">
        <v>24</v>
      </c>
      <c r="S1" s="9"/>
      <c r="T1" s="9"/>
      <c r="U1" s="9"/>
      <c r="V1" s="9"/>
      <c r="W1" s="9"/>
      <c r="X1" s="9"/>
    </row>
    <row r="2">
      <c r="A2" s="10">
        <v>46195.966460219905</v>
      </c>
      <c r="B2" s="11" t="s">
        <v>25</v>
      </c>
      <c r="C2" s="11" t="s">
        <v>26</v>
      </c>
      <c r="D2" s="11" t="s">
        <v>27</v>
      </c>
      <c r="E2" s="21" t="s">
        <v>28</v>
      </c>
      <c r="F2" s="11">
        <v>247.0</v>
      </c>
      <c r="G2" s="11">
        <v>3.67</v>
      </c>
      <c r="H2" s="11" t="s">
        <v>49</v>
      </c>
      <c r="I2" s="11" t="s">
        <v>36</v>
      </c>
      <c r="J2" s="11" t="s">
        <v>51</v>
      </c>
      <c r="K2" s="11" t="s">
        <v>52</v>
      </c>
      <c r="L2" s="11" t="s">
        <v>53</v>
      </c>
      <c r="M2" s="11" t="s">
        <v>54</v>
      </c>
      <c r="N2" s="11" t="s">
        <v>55</v>
      </c>
      <c r="O2" s="11" t="s">
        <v>56</v>
      </c>
      <c r="P2" s="11" t="s">
        <v>58</v>
      </c>
      <c r="Q2" s="11" t="s">
        <v>59</v>
      </c>
      <c r="R2" s="11" t="s">
        <v>60</v>
      </c>
    </row>
    <row r="3">
      <c r="A3" s="10">
        <v>46195.99483780093</v>
      </c>
      <c r="B3" s="11" t="s">
        <v>62</v>
      </c>
      <c r="C3" s="11" t="s">
        <v>65</v>
      </c>
      <c r="D3" s="11" t="s">
        <v>67</v>
      </c>
      <c r="E3" s="21" t="s">
        <v>68</v>
      </c>
      <c r="F3" s="11">
        <v>228.0</v>
      </c>
      <c r="G3" s="11">
        <v>3.64</v>
      </c>
      <c r="H3" s="11" t="s">
        <v>49</v>
      </c>
      <c r="I3" s="11" t="s">
        <v>36</v>
      </c>
      <c r="J3" s="11" t="s">
        <v>82</v>
      </c>
      <c r="K3" s="11" t="s">
        <v>83</v>
      </c>
      <c r="L3" s="11" t="s">
        <v>70</v>
      </c>
      <c r="M3" s="11" t="s">
        <v>85</v>
      </c>
    </row>
    <row r="4">
      <c r="A4" s="10">
        <v>46195.26252841435</v>
      </c>
      <c r="B4" s="11" t="s">
        <v>86</v>
      </c>
      <c r="C4" s="11" t="s">
        <v>89</v>
      </c>
      <c r="D4" s="11" t="s">
        <v>91</v>
      </c>
      <c r="E4" s="21" t="s">
        <v>97</v>
      </c>
      <c r="F4" s="11">
        <v>226.5</v>
      </c>
      <c r="G4" s="11">
        <v>3.86</v>
      </c>
      <c r="H4" s="11" t="s">
        <v>49</v>
      </c>
      <c r="I4" s="11" t="s">
        <v>36</v>
      </c>
      <c r="J4" s="11" t="s">
        <v>83</v>
      </c>
      <c r="K4" s="11" t="s">
        <v>54</v>
      </c>
      <c r="L4" s="11" t="s">
        <v>53</v>
      </c>
      <c r="M4" s="11" t="s">
        <v>132</v>
      </c>
    </row>
    <row r="5">
      <c r="A5" s="10">
        <v>46195.94016846065</v>
      </c>
      <c r="B5" s="11" t="s">
        <v>136</v>
      </c>
      <c r="C5" s="11" t="s">
        <v>137</v>
      </c>
      <c r="D5" s="11" t="s">
        <v>138</v>
      </c>
      <c r="E5" s="21" t="s">
        <v>140</v>
      </c>
      <c r="F5" s="11">
        <v>226.0</v>
      </c>
      <c r="G5" s="11">
        <v>3.773</v>
      </c>
      <c r="H5" s="11" t="s">
        <v>49</v>
      </c>
      <c r="I5" s="11" t="s">
        <v>36</v>
      </c>
      <c r="J5" s="11" t="s">
        <v>53</v>
      </c>
      <c r="K5" s="11" t="s">
        <v>59</v>
      </c>
      <c r="L5" s="11" t="s">
        <v>145</v>
      </c>
      <c r="M5" s="11" t="s">
        <v>52</v>
      </c>
      <c r="N5" s="11" t="s">
        <v>166</v>
      </c>
      <c r="O5" s="11" t="s">
        <v>169</v>
      </c>
      <c r="P5" s="11" t="s">
        <v>171</v>
      </c>
      <c r="Q5" s="11" t="s">
        <v>51</v>
      </c>
      <c r="R5" s="11" t="s">
        <v>105</v>
      </c>
    </row>
    <row r="6">
      <c r="A6" s="10">
        <v>46195.806672743056</v>
      </c>
      <c r="B6" s="11" t="s">
        <v>178</v>
      </c>
      <c r="C6" s="11" t="s">
        <v>180</v>
      </c>
      <c r="D6" s="11" t="s">
        <v>182</v>
      </c>
      <c r="E6" s="21" t="s">
        <v>186</v>
      </c>
      <c r="F6" s="11">
        <v>221.5</v>
      </c>
      <c r="G6" s="11">
        <v>3.805</v>
      </c>
      <c r="H6" s="11" t="s">
        <v>49</v>
      </c>
      <c r="I6" s="11" t="s">
        <v>36</v>
      </c>
      <c r="J6" s="11" t="s">
        <v>60</v>
      </c>
      <c r="K6" s="11" t="s">
        <v>59</v>
      </c>
      <c r="L6" s="11" t="s">
        <v>55</v>
      </c>
      <c r="M6" s="11" t="s">
        <v>53</v>
      </c>
      <c r="N6" s="11" t="s">
        <v>56</v>
      </c>
      <c r="O6" s="11" t="s">
        <v>80</v>
      </c>
      <c r="P6" s="11" t="s">
        <v>148</v>
      </c>
      <c r="Q6" s="11" t="s">
        <v>70</v>
      </c>
      <c r="R6" s="11" t="s">
        <v>166</v>
      </c>
    </row>
    <row r="7">
      <c r="A7" s="10">
        <v>46195.961946111114</v>
      </c>
      <c r="B7" s="11" t="s">
        <v>215</v>
      </c>
      <c r="C7" s="11" t="s">
        <v>216</v>
      </c>
      <c r="D7" s="11" t="s">
        <v>217</v>
      </c>
      <c r="E7" s="21" t="s">
        <v>222</v>
      </c>
      <c r="F7" s="11">
        <v>218.5</v>
      </c>
      <c r="G7" s="11">
        <v>3.934</v>
      </c>
      <c r="H7" s="11" t="s">
        <v>49</v>
      </c>
      <c r="I7" s="11" t="s">
        <v>36</v>
      </c>
      <c r="J7" s="11" t="s">
        <v>207</v>
      </c>
      <c r="K7" s="11" t="s">
        <v>83</v>
      </c>
      <c r="L7" s="11" t="s">
        <v>235</v>
      </c>
      <c r="M7" s="11" t="s">
        <v>171</v>
      </c>
      <c r="N7" s="11" t="s">
        <v>66</v>
      </c>
      <c r="O7" s="11" t="s">
        <v>53</v>
      </c>
      <c r="P7" s="11" t="s">
        <v>169</v>
      </c>
      <c r="Q7" s="11" t="s">
        <v>225</v>
      </c>
      <c r="R7" s="11" t="s">
        <v>59</v>
      </c>
    </row>
    <row r="8">
      <c r="A8" s="10">
        <v>46194.72435052083</v>
      </c>
      <c r="B8" s="11" t="s">
        <v>266</v>
      </c>
      <c r="C8" s="11" t="s">
        <v>267</v>
      </c>
      <c r="D8" s="11" t="s">
        <v>269</v>
      </c>
      <c r="E8" s="21" t="s">
        <v>271</v>
      </c>
      <c r="F8" s="11">
        <v>204.0</v>
      </c>
      <c r="G8" s="11">
        <v>3.651</v>
      </c>
      <c r="H8" s="11" t="s">
        <v>49</v>
      </c>
      <c r="I8" s="11" t="s">
        <v>36</v>
      </c>
      <c r="J8" s="11" t="s">
        <v>225</v>
      </c>
      <c r="K8" s="11" t="s">
        <v>110</v>
      </c>
      <c r="L8" s="11" t="s">
        <v>54</v>
      </c>
      <c r="M8" s="11" t="s">
        <v>235</v>
      </c>
      <c r="N8" s="11" t="s">
        <v>52</v>
      </c>
      <c r="O8" s="11" t="s">
        <v>132</v>
      </c>
      <c r="P8" s="11" t="s">
        <v>53</v>
      </c>
      <c r="Q8" s="11" t="s">
        <v>51</v>
      </c>
      <c r="R8" s="11" t="s">
        <v>56</v>
      </c>
    </row>
    <row r="9">
      <c r="A9" s="10">
        <v>46191.52862798611</v>
      </c>
      <c r="B9" s="11" t="s">
        <v>304</v>
      </c>
      <c r="C9" s="11" t="s">
        <v>306</v>
      </c>
      <c r="D9" s="11" t="s">
        <v>308</v>
      </c>
      <c r="E9" s="21" t="s">
        <v>310</v>
      </c>
      <c r="F9" s="11">
        <v>198.5</v>
      </c>
      <c r="G9" s="11">
        <v>3.69</v>
      </c>
      <c r="H9" s="11" t="s">
        <v>49</v>
      </c>
      <c r="I9" s="11" t="s">
        <v>36</v>
      </c>
      <c r="J9" s="11" t="s">
        <v>55</v>
      </c>
      <c r="K9" s="11" t="s">
        <v>56</v>
      </c>
      <c r="L9" s="11" t="s">
        <v>197</v>
      </c>
      <c r="M9" s="11" t="s">
        <v>148</v>
      </c>
      <c r="N9" s="11" t="s">
        <v>52</v>
      </c>
      <c r="O9" s="11" t="s">
        <v>166</v>
      </c>
      <c r="P9" s="11" t="s">
        <v>59</v>
      </c>
      <c r="Q9" s="11" t="s">
        <v>56</v>
      </c>
      <c r="R9" s="11" t="s">
        <v>83</v>
      </c>
    </row>
    <row r="10">
      <c r="A10" s="10">
        <v>46195.55639819444</v>
      </c>
      <c r="B10" s="11" t="s">
        <v>350</v>
      </c>
      <c r="C10" s="11" t="s">
        <v>351</v>
      </c>
      <c r="D10" s="11" t="s">
        <v>352</v>
      </c>
      <c r="E10" s="21" t="s">
        <v>354</v>
      </c>
      <c r="F10" s="11">
        <v>194.5</v>
      </c>
      <c r="G10" s="11">
        <v>3.36</v>
      </c>
      <c r="H10" s="11" t="s">
        <v>49</v>
      </c>
      <c r="I10" s="11" t="s">
        <v>36</v>
      </c>
      <c r="J10" s="11" t="s">
        <v>59</v>
      </c>
      <c r="K10" s="11" t="s">
        <v>53</v>
      </c>
      <c r="L10" s="11" t="s">
        <v>54</v>
      </c>
      <c r="M10" s="11" t="s">
        <v>55</v>
      </c>
      <c r="N10" s="11" t="s">
        <v>145</v>
      </c>
      <c r="O10" s="11" t="s">
        <v>60</v>
      </c>
      <c r="P10" s="11" t="s">
        <v>364</v>
      </c>
      <c r="Q10" s="11" t="s">
        <v>83</v>
      </c>
      <c r="R10" s="11" t="s">
        <v>293</v>
      </c>
    </row>
    <row r="11">
      <c r="A11" s="10">
        <v>46191.439420173614</v>
      </c>
      <c r="B11" s="11" t="s">
        <v>377</v>
      </c>
      <c r="C11" s="11" t="s">
        <v>282</v>
      </c>
      <c r="D11" s="11" t="s">
        <v>379</v>
      </c>
      <c r="E11" s="21" t="s">
        <v>380</v>
      </c>
      <c r="F11" s="11">
        <v>194.0</v>
      </c>
      <c r="G11" s="11">
        <v>3.84</v>
      </c>
      <c r="H11" s="11" t="s">
        <v>49</v>
      </c>
      <c r="I11" s="11" t="s">
        <v>36</v>
      </c>
      <c r="J11" s="11" t="s">
        <v>53</v>
      </c>
      <c r="K11" s="11" t="s">
        <v>59</v>
      </c>
      <c r="L11" s="11" t="s">
        <v>291</v>
      </c>
      <c r="M11" s="11" t="s">
        <v>54</v>
      </c>
      <c r="N11" s="11" t="s">
        <v>145</v>
      </c>
      <c r="O11" s="11" t="s">
        <v>52</v>
      </c>
      <c r="P11" s="11" t="s">
        <v>105</v>
      </c>
      <c r="Q11" s="11" t="s">
        <v>166</v>
      </c>
      <c r="R11" s="11" t="s">
        <v>55</v>
      </c>
    </row>
    <row r="12">
      <c r="A12" s="10">
        <v>46190.87742820602</v>
      </c>
      <c r="B12" s="11" t="s">
        <v>398</v>
      </c>
      <c r="C12" s="11" t="s">
        <v>247</v>
      </c>
      <c r="D12" s="11" t="s">
        <v>399</v>
      </c>
      <c r="E12" s="21" t="s">
        <v>400</v>
      </c>
      <c r="F12" s="11">
        <v>193.0</v>
      </c>
      <c r="G12" s="11">
        <v>3.98</v>
      </c>
      <c r="H12" s="11" t="s">
        <v>49</v>
      </c>
      <c r="I12" s="11" t="s">
        <v>36</v>
      </c>
      <c r="J12" s="11" t="s">
        <v>207</v>
      </c>
      <c r="K12" s="11" t="s">
        <v>70</v>
      </c>
      <c r="L12" s="11" t="s">
        <v>105</v>
      </c>
      <c r="M12" s="11" t="s">
        <v>291</v>
      </c>
      <c r="N12" s="11" t="s">
        <v>219</v>
      </c>
      <c r="O12" s="11" t="s">
        <v>171</v>
      </c>
      <c r="P12" s="11" t="s">
        <v>59</v>
      </c>
      <c r="Q12" s="11" t="s">
        <v>341</v>
      </c>
      <c r="R12" s="11" t="s">
        <v>66</v>
      </c>
    </row>
    <row r="13">
      <c r="A13" s="10">
        <v>46193.76948685185</v>
      </c>
      <c r="B13" s="11" t="s">
        <v>412</v>
      </c>
      <c r="C13" s="11" t="s">
        <v>413</v>
      </c>
      <c r="D13" s="11" t="s">
        <v>414</v>
      </c>
      <c r="F13" s="11">
        <v>189.0</v>
      </c>
      <c r="G13" s="11">
        <v>3.104</v>
      </c>
      <c r="H13" s="11" t="s">
        <v>49</v>
      </c>
      <c r="I13" s="11" t="s">
        <v>36</v>
      </c>
      <c r="J13" s="11" t="s">
        <v>191</v>
      </c>
      <c r="K13" s="11" t="s">
        <v>83</v>
      </c>
      <c r="L13" s="11" t="s">
        <v>219</v>
      </c>
      <c r="M13" s="11" t="s">
        <v>336</v>
      </c>
      <c r="N13" s="11" t="s">
        <v>132</v>
      </c>
      <c r="O13" s="11" t="s">
        <v>225</v>
      </c>
      <c r="P13" s="11" t="s">
        <v>235</v>
      </c>
      <c r="Q13" s="11" t="s">
        <v>341</v>
      </c>
      <c r="R13" s="11" t="s">
        <v>289</v>
      </c>
    </row>
    <row r="14">
      <c r="A14" s="10">
        <v>46190.638306608795</v>
      </c>
      <c r="B14" s="11" t="s">
        <v>418</v>
      </c>
      <c r="C14" s="11" t="s">
        <v>419</v>
      </c>
      <c r="D14" s="11" t="s">
        <v>420</v>
      </c>
      <c r="E14" s="21" t="s">
        <v>421</v>
      </c>
      <c r="F14" s="11">
        <v>184.0</v>
      </c>
      <c r="G14" s="11">
        <v>3.591</v>
      </c>
      <c r="H14" s="11" t="s">
        <v>49</v>
      </c>
      <c r="I14" s="11" t="s">
        <v>36</v>
      </c>
      <c r="J14" s="11" t="s">
        <v>59</v>
      </c>
      <c r="K14" s="11" t="s">
        <v>148</v>
      </c>
      <c r="L14" s="11" t="s">
        <v>145</v>
      </c>
      <c r="M14" s="11" t="s">
        <v>60</v>
      </c>
      <c r="N14" s="11" t="s">
        <v>56</v>
      </c>
      <c r="O14" s="11" t="s">
        <v>191</v>
      </c>
    </row>
    <row r="15">
      <c r="A15" s="10">
        <v>46193.82813517361</v>
      </c>
      <c r="B15" s="11" t="s">
        <v>424</v>
      </c>
      <c r="C15" s="11" t="s">
        <v>425</v>
      </c>
      <c r="D15" s="11" t="s">
        <v>426</v>
      </c>
      <c r="E15" s="21" t="s">
        <v>428</v>
      </c>
      <c r="F15" s="11">
        <v>178.0</v>
      </c>
      <c r="G15" s="11">
        <v>3.4</v>
      </c>
      <c r="H15" s="11" t="s">
        <v>49</v>
      </c>
      <c r="I15" s="11" t="s">
        <v>36</v>
      </c>
      <c r="J15" s="11" t="s">
        <v>53</v>
      </c>
      <c r="K15" s="11" t="s">
        <v>54</v>
      </c>
      <c r="L15" s="11" t="s">
        <v>336</v>
      </c>
      <c r="M15" s="11" t="s">
        <v>291</v>
      </c>
      <c r="N15" s="11" t="s">
        <v>148</v>
      </c>
      <c r="O15" s="11" t="s">
        <v>59</v>
      </c>
      <c r="P15" s="11" t="s">
        <v>83</v>
      </c>
      <c r="Q15" s="11" t="s">
        <v>82</v>
      </c>
      <c r="R15" s="11" t="s">
        <v>132</v>
      </c>
    </row>
    <row r="16">
      <c r="A16" s="10">
        <v>46193.01008836806</v>
      </c>
      <c r="B16" s="11" t="s">
        <v>433</v>
      </c>
      <c r="C16" s="11" t="s">
        <v>434</v>
      </c>
      <c r="D16" s="11" t="s">
        <v>435</v>
      </c>
      <c r="E16" s="21" t="s">
        <v>436</v>
      </c>
      <c r="F16" s="11">
        <v>175.0</v>
      </c>
      <c r="G16" s="11">
        <v>3.87</v>
      </c>
      <c r="H16" s="11" t="s">
        <v>49</v>
      </c>
      <c r="I16" s="11" t="s">
        <v>36</v>
      </c>
      <c r="J16" s="11" t="s">
        <v>364</v>
      </c>
      <c r="K16" s="11" t="s">
        <v>145</v>
      </c>
      <c r="L16" s="11" t="s">
        <v>73</v>
      </c>
      <c r="M16" s="11" t="s">
        <v>58</v>
      </c>
      <c r="N16" s="11" t="s">
        <v>166</v>
      </c>
      <c r="O16" s="11" t="s">
        <v>56</v>
      </c>
      <c r="P16" s="11" t="s">
        <v>51</v>
      </c>
      <c r="Q16" s="11" t="s">
        <v>52</v>
      </c>
      <c r="R16" s="11" t="s">
        <v>105</v>
      </c>
    </row>
    <row r="17">
      <c r="A17" s="10">
        <v>46195.9925152662</v>
      </c>
      <c r="B17" s="11" t="s">
        <v>440</v>
      </c>
      <c r="C17" s="11" t="s">
        <v>441</v>
      </c>
      <c r="D17" s="11" t="s">
        <v>442</v>
      </c>
      <c r="E17" s="21" t="s">
        <v>443</v>
      </c>
      <c r="F17" s="11">
        <v>170.0</v>
      </c>
      <c r="G17" s="11">
        <v>3.737</v>
      </c>
      <c r="H17" s="11" t="s">
        <v>49</v>
      </c>
      <c r="I17" s="11" t="s">
        <v>36</v>
      </c>
      <c r="J17" s="11" t="s">
        <v>293</v>
      </c>
      <c r="K17" s="11" t="s">
        <v>336</v>
      </c>
      <c r="L17" s="11" t="s">
        <v>54</v>
      </c>
      <c r="M17" s="11" t="s">
        <v>53</v>
      </c>
    </row>
    <row r="18">
      <c r="A18" s="10">
        <v>46195.63663043981</v>
      </c>
      <c r="B18" s="11" t="s">
        <v>449</v>
      </c>
      <c r="C18" s="11" t="s">
        <v>123</v>
      </c>
      <c r="D18" s="11" t="s">
        <v>451</v>
      </c>
      <c r="E18" s="52" t="s">
        <v>452</v>
      </c>
      <c r="F18" s="11">
        <v>162.0</v>
      </c>
      <c r="G18" s="11">
        <v>3.72</v>
      </c>
      <c r="H18" s="11" t="s">
        <v>49</v>
      </c>
      <c r="I18" s="11" t="s">
        <v>36</v>
      </c>
      <c r="J18" s="11" t="s">
        <v>56</v>
      </c>
      <c r="K18" s="11" t="s">
        <v>53</v>
      </c>
      <c r="L18" s="11" t="s">
        <v>110</v>
      </c>
      <c r="M18" s="11" t="s">
        <v>225</v>
      </c>
      <c r="N18" s="11" t="s">
        <v>273</v>
      </c>
      <c r="O18" s="11" t="s">
        <v>73</v>
      </c>
      <c r="P18" s="11" t="s">
        <v>58</v>
      </c>
      <c r="Q18" s="11" t="s">
        <v>59</v>
      </c>
      <c r="R18" s="11" t="s">
        <v>207</v>
      </c>
    </row>
    <row r="19">
      <c r="A19" s="10">
        <v>46190.7965787037</v>
      </c>
      <c r="B19" s="11" t="s">
        <v>460</v>
      </c>
      <c r="C19" s="11" t="s">
        <v>461</v>
      </c>
      <c r="D19" s="11" t="s">
        <v>462</v>
      </c>
      <c r="E19" s="21" t="s">
        <v>463</v>
      </c>
      <c r="F19" s="11">
        <v>148.0</v>
      </c>
      <c r="G19" s="11">
        <v>3.79</v>
      </c>
      <c r="H19" s="11" t="s">
        <v>49</v>
      </c>
      <c r="I19" s="11" t="s">
        <v>36</v>
      </c>
      <c r="J19" s="11" t="s">
        <v>59</v>
      </c>
      <c r="K19" s="11" t="s">
        <v>148</v>
      </c>
      <c r="L19" s="11" t="s">
        <v>197</v>
      </c>
      <c r="M19" s="11" t="s">
        <v>110</v>
      </c>
      <c r="N19" s="11" t="s">
        <v>73</v>
      </c>
      <c r="O19" s="11" t="s">
        <v>60</v>
      </c>
      <c r="P19" s="11" t="s">
        <v>191</v>
      </c>
      <c r="Q19" s="11" t="s">
        <v>171</v>
      </c>
      <c r="R19" s="11" t="s">
        <v>166</v>
      </c>
    </row>
    <row r="20">
      <c r="A20" s="10">
        <v>46192.5347824537</v>
      </c>
      <c r="B20" s="11" t="s">
        <v>466</v>
      </c>
      <c r="C20" s="11" t="s">
        <v>467</v>
      </c>
      <c r="D20" s="11" t="s">
        <v>469</v>
      </c>
      <c r="E20" s="21" t="s">
        <v>470</v>
      </c>
      <c r="F20" s="11">
        <v>144.0</v>
      </c>
      <c r="G20" s="11">
        <v>3.415</v>
      </c>
      <c r="H20" s="11" t="s">
        <v>49</v>
      </c>
      <c r="I20" s="11" t="s">
        <v>36</v>
      </c>
      <c r="J20" s="11" t="s">
        <v>105</v>
      </c>
      <c r="K20" s="11" t="s">
        <v>58</v>
      </c>
      <c r="L20" s="11" t="s">
        <v>59</v>
      </c>
      <c r="M20" s="11" t="s">
        <v>305</v>
      </c>
    </row>
    <row r="21">
      <c r="A21" s="10">
        <v>46195.70913491899</v>
      </c>
      <c r="B21" s="11" t="s">
        <v>475</v>
      </c>
      <c r="C21" s="11" t="s">
        <v>343</v>
      </c>
      <c r="D21" s="11" t="s">
        <v>476</v>
      </c>
      <c r="E21" s="21" t="s">
        <v>477</v>
      </c>
      <c r="F21" s="11">
        <v>126.0</v>
      </c>
      <c r="G21" s="11">
        <v>3.988</v>
      </c>
      <c r="H21" s="11" t="s">
        <v>49</v>
      </c>
      <c r="I21" s="11" t="s">
        <v>36</v>
      </c>
      <c r="J21" s="11" t="s">
        <v>105</v>
      </c>
      <c r="K21" s="11" t="s">
        <v>148</v>
      </c>
      <c r="L21" s="11" t="s">
        <v>85</v>
      </c>
      <c r="M21" s="11" t="s">
        <v>70</v>
      </c>
      <c r="N21" s="11" t="s">
        <v>60</v>
      </c>
      <c r="O21" s="11" t="s">
        <v>166</v>
      </c>
      <c r="P21" s="11" t="s">
        <v>145</v>
      </c>
      <c r="Q21" s="11" t="s">
        <v>323</v>
      </c>
      <c r="R21" s="11" t="s">
        <v>54</v>
      </c>
    </row>
    <row r="22">
      <c r="A22" s="10">
        <v>46193.595781724536</v>
      </c>
      <c r="B22" s="11" t="s">
        <v>484</v>
      </c>
      <c r="C22" s="11" t="s">
        <v>332</v>
      </c>
      <c r="D22" s="11" t="s">
        <v>485</v>
      </c>
      <c r="E22" s="21" t="s">
        <v>486</v>
      </c>
      <c r="F22" s="11">
        <v>122.0</v>
      </c>
      <c r="G22" s="11">
        <v>3.84</v>
      </c>
      <c r="H22" s="11" t="s">
        <v>49</v>
      </c>
      <c r="I22" s="11" t="s">
        <v>36</v>
      </c>
      <c r="J22" s="11" t="s">
        <v>54</v>
      </c>
      <c r="K22" s="11" t="s">
        <v>51</v>
      </c>
      <c r="L22" s="11" t="s">
        <v>109</v>
      </c>
      <c r="M22" s="11" t="s">
        <v>132</v>
      </c>
      <c r="N22" s="11" t="s">
        <v>235</v>
      </c>
    </row>
    <row r="23">
      <c r="A23" s="10">
        <v>46195.11728057871</v>
      </c>
      <c r="B23" s="11" t="s">
        <v>490</v>
      </c>
      <c r="C23" s="11" t="s">
        <v>491</v>
      </c>
      <c r="D23" s="11" t="s">
        <v>492</v>
      </c>
      <c r="E23" s="21" t="s">
        <v>493</v>
      </c>
      <c r="F23" s="11">
        <v>196.0</v>
      </c>
      <c r="G23" s="11">
        <v>3.66</v>
      </c>
      <c r="H23" s="11" t="s">
        <v>49</v>
      </c>
      <c r="I23" s="11" t="s">
        <v>70</v>
      </c>
      <c r="J23" s="11" t="s">
        <v>36</v>
      </c>
      <c r="K23" s="11" t="s">
        <v>105</v>
      </c>
      <c r="L23" s="11" t="s">
        <v>166</v>
      </c>
      <c r="M23" s="11" t="s">
        <v>56</v>
      </c>
      <c r="N23" s="11" t="s">
        <v>169</v>
      </c>
      <c r="O23" s="11" t="s">
        <v>54</v>
      </c>
      <c r="P23" s="11" t="s">
        <v>207</v>
      </c>
      <c r="Q23" s="11" t="s">
        <v>59</v>
      </c>
      <c r="R23" s="11" t="s">
        <v>273</v>
      </c>
    </row>
    <row r="24">
      <c r="A24" s="10">
        <v>46176.614358217594</v>
      </c>
      <c r="B24" s="11" t="s">
        <v>233</v>
      </c>
      <c r="C24" s="11" t="s">
        <v>227</v>
      </c>
      <c r="D24" s="11" t="s">
        <v>232</v>
      </c>
      <c r="E24" s="21" t="s">
        <v>499</v>
      </c>
      <c r="F24" s="11">
        <v>187.0</v>
      </c>
      <c r="G24" s="11">
        <v>3.91</v>
      </c>
      <c r="H24" s="11" t="s">
        <v>49</v>
      </c>
      <c r="I24" s="11" t="s">
        <v>70</v>
      </c>
      <c r="J24" s="11" t="s">
        <v>291</v>
      </c>
      <c r="K24" s="11" t="s">
        <v>54</v>
      </c>
      <c r="L24" s="11" t="s">
        <v>85</v>
      </c>
      <c r="M24" s="11" t="s">
        <v>341</v>
      </c>
    </row>
    <row r="25">
      <c r="A25" s="10">
        <v>46195.893545810184</v>
      </c>
      <c r="B25" s="11" t="s">
        <v>502</v>
      </c>
      <c r="C25" s="11" t="s">
        <v>503</v>
      </c>
      <c r="D25" s="11" t="s">
        <v>504</v>
      </c>
      <c r="E25" s="21" t="s">
        <v>505</v>
      </c>
      <c r="F25" s="11">
        <v>181.0</v>
      </c>
      <c r="G25" s="11">
        <v>3.442</v>
      </c>
      <c r="H25" s="11" t="s">
        <v>49</v>
      </c>
      <c r="I25" s="11" t="s">
        <v>70</v>
      </c>
      <c r="J25" s="11" t="s">
        <v>60</v>
      </c>
      <c r="K25" s="11" t="s">
        <v>73</v>
      </c>
      <c r="L25" s="11" t="s">
        <v>171</v>
      </c>
      <c r="M25" s="11" t="s">
        <v>36</v>
      </c>
      <c r="N25" s="11" t="s">
        <v>55</v>
      </c>
      <c r="O25" s="11" t="s">
        <v>105</v>
      </c>
      <c r="P25" s="11" t="s">
        <v>169</v>
      </c>
      <c r="Q25" s="11" t="s">
        <v>59</v>
      </c>
      <c r="R25" s="11" t="s">
        <v>219</v>
      </c>
    </row>
    <row r="26">
      <c r="A26" s="10">
        <v>46194.683111307866</v>
      </c>
      <c r="B26" s="11" t="s">
        <v>510</v>
      </c>
      <c r="C26" s="11" t="s">
        <v>75</v>
      </c>
      <c r="D26" s="11" t="s">
        <v>511</v>
      </c>
      <c r="E26" s="21" t="s">
        <v>512</v>
      </c>
      <c r="F26" s="11">
        <v>276.0</v>
      </c>
      <c r="G26" s="11">
        <v>3.923</v>
      </c>
      <c r="H26" s="11" t="s">
        <v>49</v>
      </c>
      <c r="I26" s="11" t="s">
        <v>73</v>
      </c>
      <c r="J26" s="11" t="s">
        <v>59</v>
      </c>
      <c r="K26" s="11" t="s">
        <v>54</v>
      </c>
      <c r="L26" s="11" t="s">
        <v>56</v>
      </c>
      <c r="M26" s="11" t="s">
        <v>273</v>
      </c>
      <c r="N26" s="11" t="s">
        <v>60</v>
      </c>
      <c r="O26" s="11" t="s">
        <v>166</v>
      </c>
      <c r="P26" s="11" t="s">
        <v>55</v>
      </c>
    </row>
    <row r="27">
      <c r="A27" s="10">
        <v>46195.406691041666</v>
      </c>
      <c r="B27" s="11" t="s">
        <v>515</v>
      </c>
      <c r="C27" s="11" t="s">
        <v>516</v>
      </c>
      <c r="D27" s="11" t="s">
        <v>517</v>
      </c>
      <c r="E27" s="21" t="s">
        <v>518</v>
      </c>
      <c r="F27" s="11">
        <v>235.0</v>
      </c>
      <c r="G27" s="11">
        <v>3.86</v>
      </c>
      <c r="H27" s="11" t="s">
        <v>49</v>
      </c>
      <c r="I27" s="11" t="s">
        <v>73</v>
      </c>
      <c r="J27" s="11" t="s">
        <v>59</v>
      </c>
      <c r="K27" s="11" t="s">
        <v>56</v>
      </c>
      <c r="L27" s="11" t="s">
        <v>169</v>
      </c>
      <c r="M27" s="11" t="s">
        <v>171</v>
      </c>
      <c r="N27" s="11" t="s">
        <v>66</v>
      </c>
    </row>
    <row r="28">
      <c r="A28" s="10">
        <v>46191.58739305555</v>
      </c>
      <c r="B28" s="11" t="s">
        <v>430</v>
      </c>
      <c r="C28" s="11" t="s">
        <v>427</v>
      </c>
      <c r="D28" s="11" t="s">
        <v>429</v>
      </c>
      <c r="F28" s="11">
        <v>220.0</v>
      </c>
      <c r="G28" s="11">
        <v>3.8</v>
      </c>
      <c r="H28" s="11" t="s">
        <v>49</v>
      </c>
      <c r="I28" s="11" t="s">
        <v>73</v>
      </c>
      <c r="J28" s="11" t="s">
        <v>148</v>
      </c>
      <c r="K28" s="11" t="s">
        <v>171</v>
      </c>
      <c r="L28" s="11" t="s">
        <v>197</v>
      </c>
      <c r="M28" s="11" t="s">
        <v>36</v>
      </c>
      <c r="N28" s="11" t="s">
        <v>219</v>
      </c>
      <c r="O28" s="11" t="s">
        <v>105</v>
      </c>
      <c r="P28" s="11" t="s">
        <v>145</v>
      </c>
      <c r="Q28" s="11" t="s">
        <v>166</v>
      </c>
      <c r="R28" s="11" t="s">
        <v>169</v>
      </c>
    </row>
    <row r="29">
      <c r="A29" s="10">
        <v>46194.59053819445</v>
      </c>
      <c r="B29" s="11" t="s">
        <v>526</v>
      </c>
      <c r="C29" s="11" t="s">
        <v>79</v>
      </c>
      <c r="D29" s="11" t="s">
        <v>527</v>
      </c>
      <c r="E29" s="21" t="s">
        <v>528</v>
      </c>
      <c r="F29" s="11">
        <v>190.0</v>
      </c>
      <c r="G29" s="11">
        <v>3.84</v>
      </c>
      <c r="H29" s="11" t="s">
        <v>49</v>
      </c>
      <c r="I29" s="11" t="s">
        <v>73</v>
      </c>
      <c r="J29" s="11" t="s">
        <v>36</v>
      </c>
      <c r="K29" s="11" t="s">
        <v>54</v>
      </c>
      <c r="L29" s="11" t="s">
        <v>171</v>
      </c>
      <c r="M29" s="11" t="s">
        <v>70</v>
      </c>
      <c r="N29" s="11" t="s">
        <v>109</v>
      </c>
      <c r="O29" s="11" t="s">
        <v>53</v>
      </c>
      <c r="P29" s="11" t="s">
        <v>59</v>
      </c>
      <c r="Q29" s="11" t="s">
        <v>148</v>
      </c>
    </row>
    <row r="30">
      <c r="A30" s="10">
        <v>46191.53175239584</v>
      </c>
      <c r="B30" s="11" t="s">
        <v>531</v>
      </c>
      <c r="C30" s="11" t="s">
        <v>92</v>
      </c>
      <c r="D30" s="11" t="s">
        <v>532</v>
      </c>
      <c r="E30" s="21" t="s">
        <v>533</v>
      </c>
      <c r="F30" s="11">
        <v>185.5</v>
      </c>
      <c r="G30" s="11">
        <v>3.9</v>
      </c>
      <c r="H30" s="11" t="s">
        <v>49</v>
      </c>
      <c r="I30" s="11" t="s">
        <v>73</v>
      </c>
      <c r="J30" s="11" t="s">
        <v>105</v>
      </c>
      <c r="K30" s="11" t="s">
        <v>55</v>
      </c>
      <c r="L30" s="11" t="s">
        <v>70</v>
      </c>
      <c r="M30" s="11" t="s">
        <v>36</v>
      </c>
    </row>
    <row r="31">
      <c r="A31" s="10">
        <v>46193.605312430554</v>
      </c>
      <c r="B31" s="11" t="s">
        <v>534</v>
      </c>
      <c r="C31" s="11" t="s">
        <v>535</v>
      </c>
      <c r="D31" s="11" t="s">
        <v>536</v>
      </c>
      <c r="E31" s="21" t="s">
        <v>537</v>
      </c>
      <c r="F31" s="11">
        <v>177.0</v>
      </c>
      <c r="G31" s="11">
        <v>3.529</v>
      </c>
      <c r="H31" s="11" t="s">
        <v>49</v>
      </c>
      <c r="I31" s="11" t="s">
        <v>73</v>
      </c>
      <c r="J31" s="11" t="s">
        <v>70</v>
      </c>
      <c r="K31" s="11" t="s">
        <v>171</v>
      </c>
      <c r="L31" s="11" t="s">
        <v>58</v>
      </c>
      <c r="M31" s="11" t="s">
        <v>83</v>
      </c>
      <c r="N31" s="11" t="s">
        <v>54</v>
      </c>
      <c r="O31" s="11" t="s">
        <v>53</v>
      </c>
      <c r="P31" s="11" t="s">
        <v>293</v>
      </c>
      <c r="Q31" s="11" t="s">
        <v>52</v>
      </c>
      <c r="R31" s="11" t="s">
        <v>336</v>
      </c>
    </row>
    <row r="32">
      <c r="A32" s="10">
        <v>46192.93381478009</v>
      </c>
      <c r="B32" s="11" t="s">
        <v>540</v>
      </c>
      <c r="C32" s="11" t="s">
        <v>396</v>
      </c>
      <c r="D32" s="11" t="s">
        <v>541</v>
      </c>
      <c r="E32" s="21" t="s">
        <v>542</v>
      </c>
      <c r="F32" s="11">
        <v>229.0</v>
      </c>
      <c r="G32" s="11">
        <v>3.56</v>
      </c>
      <c r="H32" s="11" t="s">
        <v>49</v>
      </c>
      <c r="I32" s="11" t="s">
        <v>80</v>
      </c>
      <c r="J32" s="11" t="s">
        <v>341</v>
      </c>
      <c r="K32" s="11" t="s">
        <v>346</v>
      </c>
      <c r="L32" s="11" t="s">
        <v>59</v>
      </c>
      <c r="M32" s="11" t="s">
        <v>191</v>
      </c>
      <c r="N32" s="11" t="s">
        <v>336</v>
      </c>
    </row>
    <row r="33">
      <c r="A33" s="10">
        <v>46192.549178761576</v>
      </c>
      <c r="B33" s="11" t="s">
        <v>549</v>
      </c>
      <c r="C33" s="11" t="s">
        <v>337</v>
      </c>
      <c r="D33" s="11" t="s">
        <v>550</v>
      </c>
      <c r="E33" s="21" t="s">
        <v>551</v>
      </c>
      <c r="F33" s="11">
        <v>172.0</v>
      </c>
      <c r="G33" s="11">
        <v>3.88</v>
      </c>
      <c r="H33" s="11" t="s">
        <v>49</v>
      </c>
      <c r="I33" s="11" t="s">
        <v>80</v>
      </c>
      <c r="J33" s="11" t="s">
        <v>235</v>
      </c>
      <c r="K33" s="11" t="s">
        <v>36</v>
      </c>
      <c r="L33" s="11" t="s">
        <v>54</v>
      </c>
      <c r="M33" s="11" t="s">
        <v>85</v>
      </c>
      <c r="N33" s="11" t="s">
        <v>219</v>
      </c>
      <c r="O33" s="11" t="s">
        <v>132</v>
      </c>
      <c r="P33" s="11" t="s">
        <v>110</v>
      </c>
      <c r="Q33" s="11" t="s">
        <v>105</v>
      </c>
      <c r="R33" s="11" t="s">
        <v>59</v>
      </c>
    </row>
    <row r="34">
      <c r="A34" s="10">
        <v>46191.86115868056</v>
      </c>
      <c r="B34" s="11" t="s">
        <v>555</v>
      </c>
      <c r="C34" s="11" t="s">
        <v>556</v>
      </c>
      <c r="D34" s="11" t="s">
        <v>557</v>
      </c>
      <c r="E34" s="21" t="s">
        <v>560</v>
      </c>
      <c r="F34" s="11">
        <v>142.0</v>
      </c>
      <c r="G34" s="11">
        <v>4.0</v>
      </c>
      <c r="H34" s="11" t="s">
        <v>49</v>
      </c>
      <c r="I34" s="11" t="s">
        <v>80</v>
      </c>
      <c r="J34" s="11" t="s">
        <v>293</v>
      </c>
      <c r="K34" s="11" t="s">
        <v>109</v>
      </c>
      <c r="L34" s="11" t="s">
        <v>336</v>
      </c>
      <c r="M34" s="11" t="s">
        <v>171</v>
      </c>
      <c r="N34" s="11" t="s">
        <v>51</v>
      </c>
      <c r="O34" s="11" t="s">
        <v>53</v>
      </c>
      <c r="P34" s="11" t="s">
        <v>66</v>
      </c>
      <c r="Q34" s="11" t="s">
        <v>58</v>
      </c>
      <c r="R34" s="11" t="s">
        <v>191</v>
      </c>
    </row>
    <row r="35">
      <c r="A35" s="10">
        <v>46192.97495192129</v>
      </c>
      <c r="B35" s="11" t="s">
        <v>563</v>
      </c>
      <c r="C35" s="11" t="s">
        <v>94</v>
      </c>
      <c r="D35" s="11" t="s">
        <v>564</v>
      </c>
      <c r="E35" s="21" t="s">
        <v>565</v>
      </c>
      <c r="F35" s="11">
        <v>217.0</v>
      </c>
      <c r="G35" s="11">
        <v>3.81</v>
      </c>
      <c r="H35" s="11" t="s">
        <v>49</v>
      </c>
      <c r="I35" s="11" t="s">
        <v>55</v>
      </c>
      <c r="J35" s="11" t="s">
        <v>197</v>
      </c>
      <c r="K35" s="11" t="s">
        <v>36</v>
      </c>
      <c r="L35" s="11" t="s">
        <v>145</v>
      </c>
      <c r="M35" s="11" t="s">
        <v>364</v>
      </c>
      <c r="N35" s="11" t="s">
        <v>60</v>
      </c>
      <c r="O35" s="11" t="s">
        <v>54</v>
      </c>
      <c r="P35" s="11" t="s">
        <v>53</v>
      </c>
      <c r="Q35" s="11" t="s">
        <v>83</v>
      </c>
      <c r="R35" s="11" t="s">
        <v>207</v>
      </c>
    </row>
    <row r="36">
      <c r="A36" s="10">
        <v>46194.991703125</v>
      </c>
      <c r="B36" s="11" t="s">
        <v>571</v>
      </c>
      <c r="C36" s="11" t="s">
        <v>90</v>
      </c>
      <c r="D36" s="11" t="s">
        <v>572</v>
      </c>
      <c r="E36" s="21" t="s">
        <v>573</v>
      </c>
      <c r="F36" s="11">
        <v>99.0</v>
      </c>
      <c r="G36" s="11">
        <v>3.73</v>
      </c>
      <c r="H36" s="11" t="s">
        <v>49</v>
      </c>
      <c r="I36" s="11" t="s">
        <v>55</v>
      </c>
      <c r="J36" s="11" t="s">
        <v>364</v>
      </c>
      <c r="K36" s="11" t="s">
        <v>36</v>
      </c>
      <c r="L36" s="11" t="s">
        <v>54</v>
      </c>
      <c r="M36" s="11" t="s">
        <v>52</v>
      </c>
      <c r="N36" s="11" t="s">
        <v>51</v>
      </c>
      <c r="O36" s="11" t="s">
        <v>293</v>
      </c>
      <c r="P36" s="11" t="s">
        <v>58</v>
      </c>
      <c r="Q36" s="11" t="s">
        <v>191</v>
      </c>
      <c r="R36" s="11" t="s">
        <v>56</v>
      </c>
    </row>
    <row r="37">
      <c r="A37" s="10">
        <v>46195.85439129629</v>
      </c>
      <c r="B37" s="11" t="s">
        <v>576</v>
      </c>
      <c r="C37" s="11" t="s">
        <v>199</v>
      </c>
      <c r="D37" s="11" t="s">
        <v>577</v>
      </c>
      <c r="E37" s="21" t="s">
        <v>578</v>
      </c>
      <c r="F37" s="11">
        <v>193.0</v>
      </c>
      <c r="G37" s="11">
        <v>3.652</v>
      </c>
      <c r="H37" s="11" t="s">
        <v>49</v>
      </c>
      <c r="I37" s="11" t="s">
        <v>105</v>
      </c>
      <c r="J37" s="11" t="s">
        <v>36</v>
      </c>
      <c r="K37" s="11" t="s">
        <v>166</v>
      </c>
      <c r="L37" s="11" t="s">
        <v>336</v>
      </c>
      <c r="M37" s="11" t="s">
        <v>59</v>
      </c>
      <c r="N37" s="11" t="s">
        <v>53</v>
      </c>
      <c r="O37" s="11" t="s">
        <v>235</v>
      </c>
      <c r="P37" s="11" t="s">
        <v>52</v>
      </c>
      <c r="Q37" s="11" t="s">
        <v>70</v>
      </c>
      <c r="R37" s="11" t="s">
        <v>169</v>
      </c>
    </row>
    <row r="38">
      <c r="A38" s="10">
        <v>46191.63370020833</v>
      </c>
      <c r="B38" s="11" t="s">
        <v>584</v>
      </c>
      <c r="C38" s="11" t="s">
        <v>585</v>
      </c>
      <c r="D38" s="11" t="s">
        <v>586</v>
      </c>
      <c r="E38" s="21" t="s">
        <v>587</v>
      </c>
      <c r="F38" s="11">
        <v>200.0</v>
      </c>
      <c r="G38" s="11">
        <v>3.48</v>
      </c>
      <c r="H38" s="11" t="s">
        <v>49</v>
      </c>
      <c r="I38" s="11" t="s">
        <v>110</v>
      </c>
      <c r="J38" s="11" t="s">
        <v>171</v>
      </c>
      <c r="K38" s="11" t="s">
        <v>56</v>
      </c>
      <c r="L38" s="11" t="s">
        <v>60</v>
      </c>
      <c r="M38" s="11" t="s">
        <v>66</v>
      </c>
      <c r="N38" s="11" t="s">
        <v>55</v>
      </c>
      <c r="O38" s="11" t="s">
        <v>73</v>
      </c>
      <c r="P38" s="11" t="s">
        <v>169</v>
      </c>
      <c r="Q38" s="11" t="s">
        <v>36</v>
      </c>
      <c r="R38" s="11" t="s">
        <v>148</v>
      </c>
    </row>
    <row r="39">
      <c r="A39" s="10">
        <v>46194.599914375</v>
      </c>
      <c r="B39" s="11" t="s">
        <v>593</v>
      </c>
      <c r="C39" s="11" t="s">
        <v>594</v>
      </c>
      <c r="D39" s="11" t="s">
        <v>595</v>
      </c>
      <c r="E39" s="21" t="s">
        <v>596</v>
      </c>
      <c r="F39" s="11">
        <v>196.75</v>
      </c>
      <c r="G39" s="11">
        <v>3.113</v>
      </c>
      <c r="H39" s="11" t="s">
        <v>49</v>
      </c>
      <c r="I39" s="11" t="s">
        <v>110</v>
      </c>
      <c r="J39" s="11" t="s">
        <v>59</v>
      </c>
      <c r="K39" s="11" t="s">
        <v>60</v>
      </c>
      <c r="L39" s="11" t="s">
        <v>56</v>
      </c>
      <c r="M39" s="11" t="s">
        <v>36</v>
      </c>
      <c r="N39" s="11" t="s">
        <v>53</v>
      </c>
      <c r="O39" s="11" t="s">
        <v>225</v>
      </c>
      <c r="P39" s="11" t="s">
        <v>55</v>
      </c>
      <c r="Q39" s="11" t="s">
        <v>166</v>
      </c>
      <c r="R39" s="11" t="s">
        <v>148</v>
      </c>
    </row>
    <row r="40">
      <c r="A40" s="10">
        <v>46195.95105762732</v>
      </c>
      <c r="B40" s="11" t="s">
        <v>33</v>
      </c>
      <c r="C40" s="11" t="s">
        <v>11</v>
      </c>
      <c r="D40" s="11" t="s">
        <v>32</v>
      </c>
      <c r="E40" s="52" t="s">
        <v>601</v>
      </c>
      <c r="F40" s="11">
        <v>170.0</v>
      </c>
      <c r="G40" s="11">
        <v>3.132</v>
      </c>
      <c r="H40" s="11" t="s">
        <v>49</v>
      </c>
      <c r="I40" s="11" t="s">
        <v>110</v>
      </c>
      <c r="J40" s="11" t="s">
        <v>56</v>
      </c>
      <c r="K40" s="11" t="s">
        <v>36</v>
      </c>
      <c r="L40" s="11" t="s">
        <v>60</v>
      </c>
      <c r="M40" s="11" t="s">
        <v>148</v>
      </c>
    </row>
    <row r="41">
      <c r="A41" s="10">
        <v>46195.81250177084</v>
      </c>
      <c r="B41" s="11" t="s">
        <v>610</v>
      </c>
      <c r="C41" s="11" t="s">
        <v>611</v>
      </c>
      <c r="D41" s="11" t="s">
        <v>612</v>
      </c>
      <c r="E41" s="21" t="s">
        <v>613</v>
      </c>
      <c r="F41" s="11">
        <v>170.0</v>
      </c>
      <c r="G41" s="11">
        <v>3.41</v>
      </c>
      <c r="H41" s="11" t="s">
        <v>49</v>
      </c>
      <c r="I41" s="11" t="s">
        <v>110</v>
      </c>
      <c r="J41" s="11" t="s">
        <v>291</v>
      </c>
      <c r="K41" s="11" t="s">
        <v>273</v>
      </c>
      <c r="L41" s="11" t="s">
        <v>36</v>
      </c>
      <c r="M41" s="11" t="s">
        <v>235</v>
      </c>
      <c r="N41" s="11" t="s">
        <v>219</v>
      </c>
      <c r="O41" s="11" t="s">
        <v>80</v>
      </c>
      <c r="P41" s="11" t="s">
        <v>105</v>
      </c>
      <c r="Q41" s="11" t="s">
        <v>55</v>
      </c>
      <c r="R41" s="11" t="s">
        <v>54</v>
      </c>
    </row>
    <row r="42">
      <c r="A42" s="10">
        <v>46181.45026699074</v>
      </c>
      <c r="B42" s="11" t="s">
        <v>583</v>
      </c>
      <c r="C42" s="11" t="s">
        <v>581</v>
      </c>
      <c r="D42" s="11" t="s">
        <v>582</v>
      </c>
      <c r="E42" s="21" t="s">
        <v>657</v>
      </c>
      <c r="F42" s="11">
        <v>170.0</v>
      </c>
      <c r="G42" s="11">
        <v>3.74</v>
      </c>
      <c r="H42" s="11" t="s">
        <v>49</v>
      </c>
      <c r="I42" s="11" t="s">
        <v>110</v>
      </c>
      <c r="J42" s="11" t="s">
        <v>171</v>
      </c>
      <c r="K42" s="11" t="s">
        <v>56</v>
      </c>
      <c r="L42" s="11" t="s">
        <v>60</v>
      </c>
      <c r="M42" s="11" t="s">
        <v>66</v>
      </c>
      <c r="N42" s="11" t="s">
        <v>55</v>
      </c>
      <c r="O42" s="11" t="s">
        <v>73</v>
      </c>
      <c r="P42" s="11" t="s">
        <v>169</v>
      </c>
      <c r="Q42" s="11" t="s">
        <v>36</v>
      </c>
      <c r="R42" s="11" t="s">
        <v>148</v>
      </c>
    </row>
    <row r="43">
      <c r="A43" s="10">
        <v>46194.714648333334</v>
      </c>
      <c r="B43" s="11" t="s">
        <v>676</v>
      </c>
      <c r="C43" s="11" t="s">
        <v>118</v>
      </c>
      <c r="D43" s="11" t="s">
        <v>677</v>
      </c>
      <c r="E43" s="52" t="s">
        <v>678</v>
      </c>
      <c r="F43" s="11">
        <v>208.0</v>
      </c>
      <c r="G43" s="11">
        <v>3.468</v>
      </c>
      <c r="H43" s="11" t="s">
        <v>49</v>
      </c>
      <c r="I43" s="11" t="s">
        <v>56</v>
      </c>
      <c r="J43" s="11" t="s">
        <v>59</v>
      </c>
      <c r="K43" s="11" t="s">
        <v>145</v>
      </c>
      <c r="L43" s="11" t="s">
        <v>51</v>
      </c>
      <c r="M43" s="11" t="s">
        <v>52</v>
      </c>
      <c r="N43" s="11" t="s">
        <v>73</v>
      </c>
      <c r="O43" s="11" t="s">
        <v>55</v>
      </c>
      <c r="P43" s="11" t="s">
        <v>207</v>
      </c>
      <c r="Q43" s="11" t="s">
        <v>171</v>
      </c>
      <c r="R43" s="11" t="s">
        <v>323</v>
      </c>
    </row>
    <row r="44">
      <c r="A44" s="10">
        <v>46194.83935273148</v>
      </c>
      <c r="B44" s="11" t="s">
        <v>679</v>
      </c>
      <c r="C44" s="11" t="s">
        <v>128</v>
      </c>
      <c r="D44" s="11" t="s">
        <v>680</v>
      </c>
      <c r="E44" s="52" t="s">
        <v>681</v>
      </c>
      <c r="F44" s="11">
        <v>206.0</v>
      </c>
      <c r="G44" s="11">
        <v>3.875</v>
      </c>
      <c r="H44" s="11" t="s">
        <v>49</v>
      </c>
      <c r="I44" s="11" t="s">
        <v>56</v>
      </c>
      <c r="J44" s="11" t="s">
        <v>289</v>
      </c>
      <c r="K44" s="11" t="s">
        <v>36</v>
      </c>
      <c r="L44" s="11" t="s">
        <v>73</v>
      </c>
      <c r="M44" s="11" t="s">
        <v>80</v>
      </c>
      <c r="N44" s="11" t="s">
        <v>59</v>
      </c>
      <c r="O44" s="11" t="s">
        <v>83</v>
      </c>
    </row>
    <row r="45">
      <c r="A45" s="10">
        <v>46180.550586400466</v>
      </c>
      <c r="B45" s="11" t="s">
        <v>684</v>
      </c>
      <c r="C45" s="11" t="s">
        <v>116</v>
      </c>
      <c r="D45" s="11" t="s">
        <v>685</v>
      </c>
      <c r="E45" s="52" t="s">
        <v>686</v>
      </c>
      <c r="F45" s="11">
        <v>194.0</v>
      </c>
      <c r="G45" s="11">
        <v>3.95</v>
      </c>
      <c r="H45" s="11" t="s">
        <v>49</v>
      </c>
      <c r="I45" s="11" t="s">
        <v>56</v>
      </c>
      <c r="J45" s="11" t="s">
        <v>36</v>
      </c>
      <c r="K45" s="11" t="s">
        <v>145</v>
      </c>
      <c r="L45" s="11" t="s">
        <v>51</v>
      </c>
      <c r="M45" s="11" t="s">
        <v>54</v>
      </c>
      <c r="N45" s="11" t="s">
        <v>52</v>
      </c>
      <c r="O45" s="11" t="s">
        <v>66</v>
      </c>
      <c r="P45" s="11" t="s">
        <v>83</v>
      </c>
      <c r="Q45" s="11" t="s">
        <v>59</v>
      </c>
      <c r="R45" s="11" t="s">
        <v>169</v>
      </c>
    </row>
    <row r="46">
      <c r="A46" s="10">
        <v>46192.90281704861</v>
      </c>
      <c r="B46" s="11" t="s">
        <v>689</v>
      </c>
      <c r="C46" s="11" t="s">
        <v>115</v>
      </c>
      <c r="D46" s="11" t="s">
        <v>690</v>
      </c>
      <c r="E46" s="52" t="s">
        <v>691</v>
      </c>
      <c r="F46" s="11">
        <v>193.5</v>
      </c>
      <c r="G46" s="11">
        <v>3.427</v>
      </c>
      <c r="H46" s="11" t="s">
        <v>49</v>
      </c>
      <c r="I46" s="11" t="s">
        <v>56</v>
      </c>
      <c r="J46" s="11" t="s">
        <v>59</v>
      </c>
      <c r="K46" s="11" t="s">
        <v>73</v>
      </c>
      <c r="L46" s="11" t="s">
        <v>36</v>
      </c>
      <c r="M46" s="11" t="s">
        <v>60</v>
      </c>
      <c r="N46" s="11" t="s">
        <v>171</v>
      </c>
      <c r="O46" s="11" t="s">
        <v>110</v>
      </c>
      <c r="P46" s="11" t="s">
        <v>169</v>
      </c>
      <c r="Q46" s="11" t="s">
        <v>148</v>
      </c>
      <c r="R46" s="11" t="s">
        <v>364</v>
      </c>
    </row>
    <row r="47">
      <c r="A47" s="10">
        <v>46194.99339978009</v>
      </c>
      <c r="B47" s="11" t="s">
        <v>697</v>
      </c>
      <c r="C47" s="11" t="s">
        <v>119</v>
      </c>
      <c r="D47" s="11" t="s">
        <v>698</v>
      </c>
      <c r="E47" s="52" t="s">
        <v>699</v>
      </c>
      <c r="F47" s="11">
        <v>190.0</v>
      </c>
      <c r="G47" s="11">
        <v>3.8</v>
      </c>
      <c r="H47" s="11" t="s">
        <v>49</v>
      </c>
      <c r="I47" s="11" t="s">
        <v>56</v>
      </c>
      <c r="J47" s="11" t="s">
        <v>52</v>
      </c>
      <c r="K47" s="11" t="s">
        <v>51</v>
      </c>
      <c r="L47" s="11" t="s">
        <v>73</v>
      </c>
      <c r="M47" s="11" t="s">
        <v>80</v>
      </c>
      <c r="N47" s="11" t="s">
        <v>166</v>
      </c>
      <c r="O47" s="11" t="s">
        <v>66</v>
      </c>
      <c r="P47" s="11" t="s">
        <v>293</v>
      </c>
      <c r="Q47" s="11" t="s">
        <v>235</v>
      </c>
      <c r="R47" s="11" t="s">
        <v>291</v>
      </c>
    </row>
    <row r="48">
      <c r="A48" s="10">
        <v>46194.355967407406</v>
      </c>
      <c r="B48" s="11" t="s">
        <v>702</v>
      </c>
      <c r="C48" s="11" t="s">
        <v>121</v>
      </c>
      <c r="D48" s="11" t="s">
        <v>703</v>
      </c>
      <c r="E48" s="52" t="s">
        <v>704</v>
      </c>
      <c r="F48" s="11">
        <v>188.0</v>
      </c>
      <c r="G48" s="11">
        <v>3.65</v>
      </c>
      <c r="H48" s="11" t="s">
        <v>49</v>
      </c>
      <c r="I48" s="11" t="s">
        <v>56</v>
      </c>
      <c r="J48" s="11" t="s">
        <v>191</v>
      </c>
      <c r="K48" s="11" t="s">
        <v>59</v>
      </c>
      <c r="L48" s="11" t="s">
        <v>145</v>
      </c>
      <c r="M48" s="11" t="s">
        <v>66</v>
      </c>
      <c r="N48" s="11" t="s">
        <v>52</v>
      </c>
      <c r="O48" s="11" t="s">
        <v>110</v>
      </c>
      <c r="P48" s="11" t="s">
        <v>148</v>
      </c>
      <c r="Q48" s="11" t="s">
        <v>60</v>
      </c>
      <c r="R48" s="11" t="s">
        <v>364</v>
      </c>
    </row>
    <row r="49">
      <c r="A49" s="10">
        <v>46195.93952613426</v>
      </c>
      <c r="B49" s="11" t="s">
        <v>707</v>
      </c>
      <c r="C49" s="11" t="s">
        <v>708</v>
      </c>
      <c r="D49" s="11" t="s">
        <v>709</v>
      </c>
      <c r="E49" s="52" t="s">
        <v>710</v>
      </c>
      <c r="F49" s="11">
        <v>180.0</v>
      </c>
      <c r="G49" s="11">
        <v>3.503</v>
      </c>
      <c r="H49" s="11" t="s">
        <v>49</v>
      </c>
      <c r="I49" s="11" t="s">
        <v>56</v>
      </c>
      <c r="J49" s="11" t="s">
        <v>273</v>
      </c>
      <c r="K49" s="11" t="s">
        <v>83</v>
      </c>
      <c r="L49" s="11" t="s">
        <v>36</v>
      </c>
      <c r="M49" s="11" t="s">
        <v>235</v>
      </c>
      <c r="N49" s="11" t="s">
        <v>132</v>
      </c>
      <c r="O49" s="11" t="s">
        <v>34</v>
      </c>
      <c r="P49" s="11" t="s">
        <v>219</v>
      </c>
      <c r="Q49" s="11" t="s">
        <v>291</v>
      </c>
      <c r="R49" s="11" t="s">
        <v>80</v>
      </c>
    </row>
    <row r="50">
      <c r="A50" s="10">
        <v>46193.8838992824</v>
      </c>
      <c r="B50" s="11" t="s">
        <v>712</v>
      </c>
      <c r="C50" s="11" t="s">
        <v>127</v>
      </c>
      <c r="D50" s="11" t="s">
        <v>713</v>
      </c>
      <c r="E50" s="52" t="s">
        <v>714</v>
      </c>
      <c r="F50" s="11">
        <v>167.0</v>
      </c>
      <c r="G50" s="11">
        <v>3.65</v>
      </c>
      <c r="H50" s="11" t="s">
        <v>49</v>
      </c>
      <c r="I50" s="11" t="s">
        <v>56</v>
      </c>
      <c r="J50" s="11" t="s">
        <v>60</v>
      </c>
      <c r="K50" s="11" t="s">
        <v>59</v>
      </c>
      <c r="L50" s="11" t="s">
        <v>110</v>
      </c>
      <c r="M50" s="11" t="s">
        <v>148</v>
      </c>
      <c r="N50" s="11" t="s">
        <v>197</v>
      </c>
      <c r="O50" s="11" t="s">
        <v>80</v>
      </c>
      <c r="P50" s="11" t="s">
        <v>145</v>
      </c>
      <c r="Q50" s="11" t="s">
        <v>36</v>
      </c>
      <c r="R50" s="11" t="s">
        <v>169</v>
      </c>
    </row>
    <row r="51">
      <c r="A51" s="10">
        <v>46193.58409186343</v>
      </c>
      <c r="B51" s="11" t="s">
        <v>717</v>
      </c>
      <c r="C51" s="11" t="s">
        <v>125</v>
      </c>
      <c r="D51" s="11" t="s">
        <v>718</v>
      </c>
      <c r="E51" s="52" t="s">
        <v>719</v>
      </c>
      <c r="F51" s="11">
        <v>140.5</v>
      </c>
      <c r="G51" s="11">
        <v>3.634</v>
      </c>
      <c r="H51" s="11" t="s">
        <v>49</v>
      </c>
      <c r="I51" s="11" t="s">
        <v>56</v>
      </c>
      <c r="J51" s="11" t="s">
        <v>36</v>
      </c>
      <c r="K51" s="11" t="s">
        <v>60</v>
      </c>
      <c r="L51" s="11" t="s">
        <v>364</v>
      </c>
      <c r="M51" s="11" t="s">
        <v>110</v>
      </c>
      <c r="N51" s="11" t="s">
        <v>83</v>
      </c>
      <c r="O51" s="11" t="s">
        <v>273</v>
      </c>
      <c r="P51" s="11" t="s">
        <v>105</v>
      </c>
      <c r="Q51" s="11" t="s">
        <v>132</v>
      </c>
      <c r="R51" s="11" t="s">
        <v>207</v>
      </c>
    </row>
    <row r="52">
      <c r="A52" s="10">
        <v>46194.00700050926</v>
      </c>
      <c r="B52" s="11" t="s">
        <v>539</v>
      </c>
      <c r="C52" s="11" t="s">
        <v>117</v>
      </c>
      <c r="D52" s="11" t="s">
        <v>538</v>
      </c>
      <c r="E52" s="52" t="s">
        <v>724</v>
      </c>
      <c r="F52" s="11">
        <v>100.0</v>
      </c>
      <c r="G52" s="11">
        <v>3.91</v>
      </c>
      <c r="H52" s="11" t="s">
        <v>49</v>
      </c>
      <c r="I52" s="11" t="s">
        <v>56</v>
      </c>
      <c r="J52" s="11" t="s">
        <v>197</v>
      </c>
      <c r="K52" s="11" t="s">
        <v>110</v>
      </c>
      <c r="L52" s="11" t="s">
        <v>83</v>
      </c>
      <c r="M52" s="11" t="s">
        <v>207</v>
      </c>
      <c r="N52" s="11" t="s">
        <v>289</v>
      </c>
      <c r="O52" s="11" t="s">
        <v>323</v>
      </c>
      <c r="P52" s="11" t="s">
        <v>169</v>
      </c>
      <c r="Q52" s="11" t="s">
        <v>225</v>
      </c>
      <c r="R52" s="11" t="s">
        <v>219</v>
      </c>
    </row>
    <row r="53">
      <c r="A53" s="10">
        <v>46195.56578193287</v>
      </c>
      <c r="B53" s="11" t="s">
        <v>221</v>
      </c>
      <c r="C53" s="11" t="s">
        <v>134</v>
      </c>
      <c r="D53" s="11" t="s">
        <v>220</v>
      </c>
      <c r="E53" s="21" t="s">
        <v>730</v>
      </c>
      <c r="F53" s="11">
        <v>182.5</v>
      </c>
      <c r="G53" s="11">
        <v>3.168</v>
      </c>
      <c r="H53" s="11" t="s">
        <v>49</v>
      </c>
      <c r="I53" s="11" t="s">
        <v>126</v>
      </c>
      <c r="J53" s="11" t="s">
        <v>341</v>
      </c>
      <c r="K53" s="11" t="s">
        <v>191</v>
      </c>
      <c r="L53" s="11" t="s">
        <v>109</v>
      </c>
      <c r="M53" s="11" t="s">
        <v>66</v>
      </c>
      <c r="N53" s="11" t="s">
        <v>291</v>
      </c>
      <c r="O53" s="11" t="s">
        <v>207</v>
      </c>
      <c r="P53" s="11" t="s">
        <v>70</v>
      </c>
      <c r="Q53" s="11" t="s">
        <v>171</v>
      </c>
      <c r="R53" s="11" t="s">
        <v>169</v>
      </c>
    </row>
    <row r="54">
      <c r="A54" s="10">
        <v>46193.69150122685</v>
      </c>
      <c r="B54" s="11" t="s">
        <v>438</v>
      </c>
      <c r="C54" s="11" t="s">
        <v>93</v>
      </c>
      <c r="D54" s="11" t="s">
        <v>437</v>
      </c>
      <c r="E54" s="21" t="s">
        <v>734</v>
      </c>
      <c r="F54" s="11">
        <v>244.5</v>
      </c>
      <c r="G54" s="11">
        <v>3.932</v>
      </c>
      <c r="H54" s="11" t="s">
        <v>49</v>
      </c>
      <c r="I54" s="11" t="s">
        <v>58</v>
      </c>
      <c r="J54" s="11" t="s">
        <v>55</v>
      </c>
      <c r="K54" s="11" t="s">
        <v>105</v>
      </c>
      <c r="L54" s="11" t="s">
        <v>109</v>
      </c>
      <c r="M54" s="11" t="s">
        <v>145</v>
      </c>
      <c r="N54" s="11" t="s">
        <v>169</v>
      </c>
      <c r="O54" s="11" t="s">
        <v>80</v>
      </c>
      <c r="P54" s="11" t="s">
        <v>126</v>
      </c>
      <c r="Q54" s="11" t="s">
        <v>166</v>
      </c>
      <c r="R54" s="11" t="s">
        <v>110</v>
      </c>
    </row>
    <row r="55">
      <c r="A55" s="10">
        <v>46194.92837541667</v>
      </c>
      <c r="B55" s="11" t="s">
        <v>525</v>
      </c>
      <c r="C55" s="11" t="s">
        <v>155</v>
      </c>
      <c r="D55" s="11" t="s">
        <v>524</v>
      </c>
      <c r="E55" s="21" t="s">
        <v>739</v>
      </c>
      <c r="F55" s="11">
        <v>222.0</v>
      </c>
      <c r="G55" s="11">
        <v>3.97</v>
      </c>
      <c r="H55" s="11" t="s">
        <v>49</v>
      </c>
      <c r="I55" s="11" t="s">
        <v>58</v>
      </c>
      <c r="J55" s="11" t="s">
        <v>336</v>
      </c>
      <c r="K55" s="11" t="s">
        <v>289</v>
      </c>
      <c r="L55" s="11" t="s">
        <v>341</v>
      </c>
      <c r="M55" s="11" t="s">
        <v>293</v>
      </c>
      <c r="N55" s="11" t="s">
        <v>54</v>
      </c>
      <c r="O55" s="11" t="s">
        <v>70</v>
      </c>
      <c r="P55" s="11" t="s">
        <v>52</v>
      </c>
      <c r="Q55" s="11" t="s">
        <v>51</v>
      </c>
      <c r="R55" s="11" t="s">
        <v>53</v>
      </c>
    </row>
    <row r="56">
      <c r="A56" s="10">
        <v>46192.53248513889</v>
      </c>
      <c r="B56" s="11" t="s">
        <v>742</v>
      </c>
      <c r="C56" s="11" t="s">
        <v>133</v>
      </c>
      <c r="D56" s="11" t="s">
        <v>743</v>
      </c>
      <c r="E56" s="56" t="s">
        <v>744</v>
      </c>
      <c r="F56" s="11">
        <v>218.5</v>
      </c>
      <c r="G56" s="11">
        <v>3.91</v>
      </c>
      <c r="H56" s="11" t="s">
        <v>49</v>
      </c>
      <c r="I56" s="11" t="s">
        <v>58</v>
      </c>
      <c r="J56" s="11" t="s">
        <v>126</v>
      </c>
      <c r="K56" s="11" t="s">
        <v>66</v>
      </c>
      <c r="L56" s="11" t="s">
        <v>169</v>
      </c>
      <c r="M56" s="11" t="s">
        <v>70</v>
      </c>
      <c r="N56" s="11" t="s">
        <v>105</v>
      </c>
      <c r="O56" s="11" t="s">
        <v>291</v>
      </c>
      <c r="P56" s="11" t="s">
        <v>145</v>
      </c>
      <c r="Q56" s="11" t="s">
        <v>55</v>
      </c>
      <c r="R56" s="11" t="s">
        <v>191</v>
      </c>
    </row>
    <row r="57">
      <c r="A57" s="10">
        <v>46195.95254108796</v>
      </c>
      <c r="B57" s="11" t="s">
        <v>750</v>
      </c>
      <c r="C57" s="11" t="s">
        <v>157</v>
      </c>
      <c r="D57" s="11" t="s">
        <v>751</v>
      </c>
      <c r="E57" s="21" t="s">
        <v>752</v>
      </c>
      <c r="F57" s="11">
        <v>217.0</v>
      </c>
      <c r="G57" s="11">
        <v>3.16</v>
      </c>
      <c r="H57" s="11" t="s">
        <v>49</v>
      </c>
      <c r="I57" s="11" t="s">
        <v>58</v>
      </c>
      <c r="J57" s="11" t="s">
        <v>83</v>
      </c>
      <c r="K57" s="11" t="s">
        <v>53</v>
      </c>
      <c r="L57" s="11" t="s">
        <v>291</v>
      </c>
      <c r="M57" s="11" t="s">
        <v>293</v>
      </c>
      <c r="N57" s="11" t="s">
        <v>70</v>
      </c>
      <c r="O57" s="11" t="s">
        <v>341</v>
      </c>
      <c r="P57" s="11" t="s">
        <v>323</v>
      </c>
    </row>
    <row r="58">
      <c r="A58" s="10">
        <v>46193.40853721065</v>
      </c>
      <c r="B58" s="11" t="s">
        <v>756</v>
      </c>
      <c r="C58" s="11" t="s">
        <v>149</v>
      </c>
      <c r="D58" s="11" t="s">
        <v>757</v>
      </c>
      <c r="E58" s="52" t="s">
        <v>758</v>
      </c>
      <c r="F58" s="11">
        <v>156.0</v>
      </c>
      <c r="G58" s="11">
        <v>3.987</v>
      </c>
      <c r="H58" s="11" t="s">
        <v>49</v>
      </c>
      <c r="I58" s="11" t="s">
        <v>58</v>
      </c>
      <c r="J58" s="11" t="s">
        <v>56</v>
      </c>
      <c r="K58" s="11" t="s">
        <v>51</v>
      </c>
      <c r="L58" s="11" t="s">
        <v>53</v>
      </c>
      <c r="M58" s="11" t="s">
        <v>70</v>
      </c>
      <c r="N58" s="11" t="s">
        <v>73</v>
      </c>
      <c r="O58" s="11" t="s">
        <v>145</v>
      </c>
      <c r="P58" s="11" t="s">
        <v>126</v>
      </c>
      <c r="Q58" s="11" t="s">
        <v>59</v>
      </c>
      <c r="R58" s="11" t="s">
        <v>109</v>
      </c>
    </row>
    <row r="59">
      <c r="A59" s="10">
        <v>46195.71326049769</v>
      </c>
      <c r="B59" s="11" t="s">
        <v>761</v>
      </c>
      <c r="C59" s="11" t="s">
        <v>139</v>
      </c>
      <c r="D59" s="11" t="s">
        <v>762</v>
      </c>
      <c r="E59" s="21" t="s">
        <v>763</v>
      </c>
      <c r="F59" s="11">
        <v>139.0</v>
      </c>
      <c r="G59" s="11">
        <v>3.78</v>
      </c>
      <c r="H59" s="11" t="s">
        <v>49</v>
      </c>
      <c r="I59" s="11" t="s">
        <v>58</v>
      </c>
      <c r="J59" s="11" t="s">
        <v>52</v>
      </c>
      <c r="K59" s="11" t="s">
        <v>126</v>
      </c>
      <c r="L59" s="11" t="s">
        <v>171</v>
      </c>
      <c r="M59" s="11" t="s">
        <v>55</v>
      </c>
      <c r="N59" s="11" t="s">
        <v>85</v>
      </c>
      <c r="O59" s="11" t="s">
        <v>336</v>
      </c>
      <c r="P59" s="11" t="s">
        <v>53</v>
      </c>
      <c r="Q59" s="11" t="s">
        <v>109</v>
      </c>
      <c r="R59" s="11" t="s">
        <v>207</v>
      </c>
    </row>
    <row r="60">
      <c r="A60" s="10">
        <v>46195.960889814814</v>
      </c>
      <c r="B60" s="11" t="s">
        <v>772</v>
      </c>
      <c r="C60" s="11" t="s">
        <v>204</v>
      </c>
      <c r="D60" s="11" t="s">
        <v>773</v>
      </c>
      <c r="E60" s="21" t="s">
        <v>774</v>
      </c>
      <c r="F60" s="11">
        <v>194.0</v>
      </c>
      <c r="G60" s="11">
        <v>3.64</v>
      </c>
      <c r="H60" s="11" t="s">
        <v>49</v>
      </c>
      <c r="I60" s="11" t="s">
        <v>145</v>
      </c>
      <c r="J60" s="11" t="s">
        <v>166</v>
      </c>
      <c r="K60" s="11" t="s">
        <v>110</v>
      </c>
      <c r="L60" s="11" t="s">
        <v>105</v>
      </c>
      <c r="M60" s="11" t="s">
        <v>34</v>
      </c>
    </row>
    <row r="61">
      <c r="A61" s="10">
        <v>46190.37375722222</v>
      </c>
      <c r="B61" s="11" t="s">
        <v>779</v>
      </c>
      <c r="C61" s="11" t="s">
        <v>173</v>
      </c>
      <c r="D61" s="11" t="s">
        <v>780</v>
      </c>
      <c r="E61" s="21" t="s">
        <v>781</v>
      </c>
      <c r="F61" s="11">
        <v>270.75</v>
      </c>
      <c r="G61" s="11">
        <v>3.98</v>
      </c>
      <c r="H61" s="11" t="s">
        <v>49</v>
      </c>
      <c r="I61" s="11" t="s">
        <v>59</v>
      </c>
      <c r="J61" s="11" t="s">
        <v>145</v>
      </c>
      <c r="K61" s="11" t="s">
        <v>36</v>
      </c>
      <c r="L61" s="11" t="s">
        <v>53</v>
      </c>
      <c r="M61" s="11" t="s">
        <v>54</v>
      </c>
      <c r="N61" s="11" t="s">
        <v>52</v>
      </c>
      <c r="O61" s="11" t="s">
        <v>60</v>
      </c>
      <c r="P61" s="11" t="s">
        <v>56</v>
      </c>
      <c r="Q61" s="11" t="s">
        <v>55</v>
      </c>
      <c r="R61" s="11" t="s">
        <v>58</v>
      </c>
    </row>
    <row r="62">
      <c r="A62" s="10">
        <v>46195.538150567125</v>
      </c>
      <c r="B62" s="11" t="s">
        <v>787</v>
      </c>
      <c r="C62" s="11" t="s">
        <v>174</v>
      </c>
      <c r="D62" s="11" t="s">
        <v>788</v>
      </c>
      <c r="E62" s="21" t="s">
        <v>789</v>
      </c>
      <c r="F62" s="11">
        <v>237.5</v>
      </c>
      <c r="G62" s="11">
        <v>3.969</v>
      </c>
      <c r="H62" s="11" t="s">
        <v>49</v>
      </c>
      <c r="I62" s="11" t="s">
        <v>59</v>
      </c>
      <c r="J62" s="11" t="s">
        <v>53</v>
      </c>
      <c r="K62" s="11" t="s">
        <v>60</v>
      </c>
      <c r="L62" s="11" t="s">
        <v>145</v>
      </c>
      <c r="M62" s="11" t="s">
        <v>56</v>
      </c>
      <c r="N62" s="11" t="s">
        <v>364</v>
      </c>
      <c r="O62" s="11" t="s">
        <v>110</v>
      </c>
      <c r="P62" s="11" t="s">
        <v>54</v>
      </c>
      <c r="Q62" s="11" t="s">
        <v>83</v>
      </c>
      <c r="R62" s="11" t="s">
        <v>55</v>
      </c>
    </row>
    <row r="63">
      <c r="A63" s="10">
        <v>46191.70909305556</v>
      </c>
      <c r="B63" s="11" t="s">
        <v>465</v>
      </c>
      <c r="C63" s="11" t="s">
        <v>185</v>
      </c>
      <c r="D63" s="11" t="s">
        <v>464</v>
      </c>
      <c r="E63" s="21" t="s">
        <v>797</v>
      </c>
      <c r="F63" s="11">
        <v>232.5</v>
      </c>
      <c r="G63" s="11">
        <v>3.72</v>
      </c>
      <c r="H63" s="11" t="s">
        <v>49</v>
      </c>
      <c r="I63" s="11" t="s">
        <v>59</v>
      </c>
      <c r="J63" s="11" t="s">
        <v>323</v>
      </c>
      <c r="K63" s="11" t="s">
        <v>197</v>
      </c>
      <c r="L63" s="11" t="s">
        <v>110</v>
      </c>
      <c r="M63" s="11" t="s">
        <v>166</v>
      </c>
      <c r="N63" s="11" t="s">
        <v>82</v>
      </c>
      <c r="O63" s="11" t="s">
        <v>55</v>
      </c>
      <c r="P63" s="11" t="s">
        <v>148</v>
      </c>
      <c r="Q63" s="11" t="s">
        <v>145</v>
      </c>
      <c r="R63" s="11" t="s">
        <v>273</v>
      </c>
    </row>
    <row r="64">
      <c r="A64" s="10">
        <v>46192.63327322916</v>
      </c>
      <c r="B64" s="11" t="s">
        <v>765</v>
      </c>
      <c r="C64" s="11" t="s">
        <v>181</v>
      </c>
      <c r="D64" s="11" t="s">
        <v>764</v>
      </c>
      <c r="E64" s="21" t="s">
        <v>803</v>
      </c>
      <c r="F64" s="11">
        <v>221.0</v>
      </c>
      <c r="G64" s="11">
        <v>3.88</v>
      </c>
      <c r="H64" s="11" t="s">
        <v>49</v>
      </c>
      <c r="I64" s="11" t="s">
        <v>59</v>
      </c>
      <c r="J64" s="11" t="s">
        <v>53</v>
      </c>
      <c r="K64" s="11" t="s">
        <v>51</v>
      </c>
      <c r="L64" s="11" t="s">
        <v>56</v>
      </c>
      <c r="M64" s="11" t="s">
        <v>52</v>
      </c>
      <c r="N64" s="11" t="s">
        <v>36</v>
      </c>
      <c r="O64" s="11" t="s">
        <v>148</v>
      </c>
      <c r="P64" s="11" t="s">
        <v>110</v>
      </c>
      <c r="Q64" s="11" t="s">
        <v>55</v>
      </c>
      <c r="R64" s="11" t="s">
        <v>105</v>
      </c>
    </row>
    <row r="65">
      <c r="A65" s="10">
        <v>46195.50274980324</v>
      </c>
      <c r="B65" s="11" t="s">
        <v>567</v>
      </c>
      <c r="C65" s="11" t="s">
        <v>179</v>
      </c>
      <c r="D65" s="11" t="s">
        <v>566</v>
      </c>
      <c r="E65" s="21" t="s">
        <v>812</v>
      </c>
      <c r="F65" s="11">
        <v>220.0</v>
      </c>
      <c r="G65" s="11">
        <v>3.79</v>
      </c>
      <c r="H65" s="11" t="s">
        <v>49</v>
      </c>
      <c r="I65" s="11" t="s">
        <v>59</v>
      </c>
      <c r="J65" s="11" t="s">
        <v>53</v>
      </c>
      <c r="K65" s="11" t="s">
        <v>80</v>
      </c>
      <c r="L65" s="11" t="s">
        <v>291</v>
      </c>
      <c r="M65" s="11" t="s">
        <v>148</v>
      </c>
      <c r="N65" s="11" t="s">
        <v>109</v>
      </c>
      <c r="O65" s="11" t="s">
        <v>52</v>
      </c>
      <c r="P65" s="11" t="s">
        <v>293</v>
      </c>
      <c r="Q65" s="11" t="s">
        <v>54</v>
      </c>
      <c r="R65" s="11" t="s">
        <v>336</v>
      </c>
    </row>
    <row r="66">
      <c r="A66" s="10">
        <v>46176.66667024305</v>
      </c>
      <c r="B66" s="11" t="s">
        <v>823</v>
      </c>
      <c r="C66" s="11" t="s">
        <v>120</v>
      </c>
      <c r="D66" s="11" t="s">
        <v>824</v>
      </c>
      <c r="E66" s="52" t="s">
        <v>825</v>
      </c>
      <c r="F66" s="11">
        <v>205.0</v>
      </c>
      <c r="G66" s="11">
        <v>2.89</v>
      </c>
      <c r="H66" s="11" t="s">
        <v>49</v>
      </c>
      <c r="I66" s="11" t="s">
        <v>59</v>
      </c>
      <c r="J66" s="11" t="s">
        <v>56</v>
      </c>
      <c r="K66" s="11" t="s">
        <v>60</v>
      </c>
      <c r="L66" s="11" t="s">
        <v>145</v>
      </c>
      <c r="M66" s="11" t="s">
        <v>110</v>
      </c>
      <c r="N66" s="11" t="s">
        <v>148</v>
      </c>
      <c r="O66" s="11" t="s">
        <v>53</v>
      </c>
      <c r="P66" s="11" t="s">
        <v>80</v>
      </c>
      <c r="Q66" s="11" t="s">
        <v>273</v>
      </c>
      <c r="R66" s="11" t="s">
        <v>83</v>
      </c>
    </row>
    <row r="67">
      <c r="A67" s="10">
        <v>46191.33702665509</v>
      </c>
      <c r="B67" s="11" t="s">
        <v>834</v>
      </c>
      <c r="C67" s="11" t="s">
        <v>835</v>
      </c>
      <c r="D67" s="11" t="s">
        <v>836</v>
      </c>
      <c r="E67" s="21" t="s">
        <v>837</v>
      </c>
      <c r="F67" s="11">
        <v>202.0</v>
      </c>
      <c r="G67" s="11">
        <v>3.75</v>
      </c>
      <c r="H67" s="11" t="s">
        <v>49</v>
      </c>
      <c r="I67" s="11" t="s">
        <v>59</v>
      </c>
      <c r="J67" s="11" t="s">
        <v>109</v>
      </c>
      <c r="K67" s="11" t="s">
        <v>66</v>
      </c>
      <c r="L67" s="11" t="s">
        <v>58</v>
      </c>
      <c r="M67" s="11" t="s">
        <v>36</v>
      </c>
      <c r="N67" s="11" t="s">
        <v>289</v>
      </c>
      <c r="O67" s="11" t="s">
        <v>54</v>
      </c>
      <c r="P67" s="11" t="s">
        <v>341</v>
      </c>
      <c r="Q67" s="11" t="s">
        <v>80</v>
      </c>
      <c r="R67" s="11" t="s">
        <v>110</v>
      </c>
    </row>
    <row r="68">
      <c r="A68" s="10">
        <v>46195.977779305555</v>
      </c>
      <c r="B68" s="11" t="s">
        <v>841</v>
      </c>
      <c r="C68" s="11" t="s">
        <v>842</v>
      </c>
      <c r="D68" s="11" t="s">
        <v>843</v>
      </c>
      <c r="E68" s="21" t="s">
        <v>844</v>
      </c>
      <c r="F68" s="11">
        <v>201.0</v>
      </c>
      <c r="G68" s="11">
        <v>3.13</v>
      </c>
      <c r="H68" s="11" t="s">
        <v>49</v>
      </c>
      <c r="I68" s="11" t="s">
        <v>59</v>
      </c>
      <c r="J68" s="11" t="s">
        <v>110</v>
      </c>
      <c r="K68" s="11" t="s">
        <v>56</v>
      </c>
      <c r="L68" s="11" t="s">
        <v>36</v>
      </c>
      <c r="M68" s="11" t="s">
        <v>54</v>
      </c>
      <c r="N68" s="11" t="s">
        <v>82</v>
      </c>
      <c r="O68" s="11" t="s">
        <v>53</v>
      </c>
      <c r="P68" s="11" t="s">
        <v>197</v>
      </c>
      <c r="Q68" s="11" t="s">
        <v>60</v>
      </c>
      <c r="R68" s="11" t="s">
        <v>166</v>
      </c>
    </row>
    <row r="69">
      <c r="A69" s="10">
        <v>46195.90733981482</v>
      </c>
      <c r="B69" s="11" t="s">
        <v>853</v>
      </c>
      <c r="C69" s="11" t="s">
        <v>854</v>
      </c>
      <c r="D69" s="11" t="s">
        <v>855</v>
      </c>
      <c r="E69" s="21" t="s">
        <v>856</v>
      </c>
      <c r="F69" s="11">
        <v>201.0</v>
      </c>
      <c r="G69" s="11">
        <v>2.9</v>
      </c>
      <c r="H69" s="11" t="s">
        <v>49</v>
      </c>
      <c r="I69" s="11" t="s">
        <v>59</v>
      </c>
      <c r="J69" s="11" t="s">
        <v>55</v>
      </c>
      <c r="K69" s="11" t="s">
        <v>36</v>
      </c>
      <c r="L69" s="11" t="s">
        <v>145</v>
      </c>
      <c r="M69" s="11" t="s">
        <v>80</v>
      </c>
      <c r="N69" s="11" t="s">
        <v>110</v>
      </c>
      <c r="O69" s="11" t="s">
        <v>56</v>
      </c>
      <c r="P69" s="11" t="s">
        <v>148</v>
      </c>
      <c r="Q69" s="11" t="s">
        <v>197</v>
      </c>
      <c r="R69" s="11" t="s">
        <v>60</v>
      </c>
    </row>
    <row r="70">
      <c r="A70" s="10">
        <v>46190.81701795138</v>
      </c>
      <c r="B70" s="11" t="s">
        <v>863</v>
      </c>
      <c r="C70" s="11" t="s">
        <v>407</v>
      </c>
      <c r="D70" s="11" t="s">
        <v>866</v>
      </c>
      <c r="E70" s="21" t="s">
        <v>867</v>
      </c>
      <c r="F70" s="11">
        <v>192.5</v>
      </c>
      <c r="G70" s="11">
        <v>3.546</v>
      </c>
      <c r="H70" s="11" t="s">
        <v>49</v>
      </c>
      <c r="I70" s="11" t="s">
        <v>59</v>
      </c>
      <c r="J70" s="11" t="s">
        <v>364</v>
      </c>
      <c r="K70" s="11" t="s">
        <v>60</v>
      </c>
      <c r="L70" s="11" t="s">
        <v>83</v>
      </c>
      <c r="M70" s="11" t="s">
        <v>70</v>
      </c>
      <c r="N70" s="11" t="s">
        <v>53</v>
      </c>
      <c r="O70" s="11" t="s">
        <v>110</v>
      </c>
      <c r="P70" s="11" t="s">
        <v>54</v>
      </c>
      <c r="Q70" s="11" t="s">
        <v>145</v>
      </c>
      <c r="R70" s="11" t="s">
        <v>171</v>
      </c>
    </row>
    <row r="71">
      <c r="A71" s="10">
        <v>46191.06839351852</v>
      </c>
      <c r="B71" s="11" t="s">
        <v>871</v>
      </c>
      <c r="C71" s="11" t="s">
        <v>176</v>
      </c>
      <c r="D71" s="11" t="s">
        <v>872</v>
      </c>
      <c r="E71" s="52" t="s">
        <v>873</v>
      </c>
      <c r="F71" s="11">
        <v>190.5</v>
      </c>
      <c r="G71" s="11">
        <v>3.945</v>
      </c>
      <c r="H71" s="11" t="s">
        <v>49</v>
      </c>
      <c r="I71" s="11" t="s">
        <v>59</v>
      </c>
      <c r="J71" s="11" t="s">
        <v>364</v>
      </c>
      <c r="K71" s="11" t="s">
        <v>60</v>
      </c>
      <c r="L71" s="11" t="s">
        <v>83</v>
      </c>
      <c r="M71" s="11" t="s">
        <v>70</v>
      </c>
      <c r="N71" s="11" t="s">
        <v>53</v>
      </c>
      <c r="O71" s="11" t="s">
        <v>110</v>
      </c>
      <c r="P71" s="11" t="s">
        <v>54</v>
      </c>
      <c r="Q71" s="11" t="s">
        <v>145</v>
      </c>
      <c r="R71" s="11" t="s">
        <v>171</v>
      </c>
    </row>
    <row r="72">
      <c r="A72" s="10">
        <v>46192.79949358796</v>
      </c>
      <c r="B72" s="11" t="s">
        <v>880</v>
      </c>
      <c r="C72" s="11" t="s">
        <v>881</v>
      </c>
      <c r="D72" s="11" t="s">
        <v>882</v>
      </c>
      <c r="E72" s="21" t="s">
        <v>883</v>
      </c>
      <c r="F72" s="11">
        <v>189.0</v>
      </c>
      <c r="G72" s="11">
        <v>3.3</v>
      </c>
      <c r="H72" s="11" t="s">
        <v>49</v>
      </c>
      <c r="I72" s="11" t="s">
        <v>59</v>
      </c>
      <c r="J72" s="11" t="s">
        <v>148</v>
      </c>
      <c r="K72" s="11" t="s">
        <v>83</v>
      </c>
      <c r="L72" s="11" t="s">
        <v>53</v>
      </c>
      <c r="M72" s="11" t="s">
        <v>60</v>
      </c>
      <c r="N72" s="11" t="s">
        <v>36</v>
      </c>
      <c r="O72" s="11" t="s">
        <v>85</v>
      </c>
      <c r="P72" s="11" t="s">
        <v>82</v>
      </c>
      <c r="Q72" s="11" t="s">
        <v>145</v>
      </c>
      <c r="R72" s="11" t="s">
        <v>80</v>
      </c>
    </row>
    <row r="73">
      <c r="A73" s="10">
        <v>46176.64967381944</v>
      </c>
      <c r="B73" s="11" t="s">
        <v>889</v>
      </c>
      <c r="C73" s="11" t="s">
        <v>184</v>
      </c>
      <c r="D73" s="11" t="s">
        <v>892</v>
      </c>
      <c r="E73" s="21" t="s">
        <v>894</v>
      </c>
      <c r="F73" s="11">
        <v>189.0</v>
      </c>
      <c r="G73" s="11">
        <v>3.6</v>
      </c>
      <c r="H73" s="11" t="s">
        <v>49</v>
      </c>
      <c r="I73" s="11" t="s">
        <v>59</v>
      </c>
      <c r="J73" s="11" t="s">
        <v>53</v>
      </c>
      <c r="K73" s="11" t="s">
        <v>36</v>
      </c>
      <c r="L73" s="11" t="s">
        <v>110</v>
      </c>
      <c r="M73" s="11" t="s">
        <v>56</v>
      </c>
    </row>
    <row r="74">
      <c r="A74" s="10">
        <v>46195.42187162037</v>
      </c>
      <c r="B74" s="11" t="s">
        <v>488</v>
      </c>
      <c r="C74" s="11" t="s">
        <v>183</v>
      </c>
      <c r="D74" s="11" t="s">
        <v>487</v>
      </c>
      <c r="E74" s="21" t="s">
        <v>901</v>
      </c>
      <c r="F74" s="11">
        <v>188.0</v>
      </c>
      <c r="G74" s="11">
        <v>3.8</v>
      </c>
      <c r="H74" s="11" t="s">
        <v>49</v>
      </c>
      <c r="I74" s="11" t="s">
        <v>59</v>
      </c>
      <c r="J74" s="11" t="s">
        <v>53</v>
      </c>
      <c r="K74" s="11" t="s">
        <v>148</v>
      </c>
      <c r="L74" s="11" t="s">
        <v>80</v>
      </c>
      <c r="M74" s="11" t="s">
        <v>291</v>
      </c>
      <c r="N74" s="11" t="s">
        <v>109</v>
      </c>
      <c r="O74" s="11" t="s">
        <v>52</v>
      </c>
      <c r="P74" s="11" t="s">
        <v>293</v>
      </c>
      <c r="Q74" s="11" t="s">
        <v>54</v>
      </c>
      <c r="R74" s="11" t="s">
        <v>336</v>
      </c>
    </row>
    <row r="75">
      <c r="A75" s="10">
        <v>46195.92664152778</v>
      </c>
      <c r="B75" s="11" t="s">
        <v>746</v>
      </c>
      <c r="C75" s="11" t="s">
        <v>188</v>
      </c>
      <c r="D75" s="11" t="s">
        <v>745</v>
      </c>
      <c r="E75" s="21" t="s">
        <v>908</v>
      </c>
      <c r="F75" s="11">
        <v>186.0</v>
      </c>
      <c r="G75" s="11">
        <v>3.376</v>
      </c>
      <c r="H75" s="11" t="s">
        <v>49</v>
      </c>
      <c r="I75" s="11" t="s">
        <v>59</v>
      </c>
      <c r="J75" s="11" t="s">
        <v>60</v>
      </c>
      <c r="K75" s="11" t="s">
        <v>110</v>
      </c>
      <c r="L75" s="11" t="s">
        <v>55</v>
      </c>
      <c r="M75" s="11" t="s">
        <v>52</v>
      </c>
      <c r="N75" s="11" t="s">
        <v>83</v>
      </c>
      <c r="O75" s="11" t="s">
        <v>166</v>
      </c>
      <c r="P75" s="11" t="s">
        <v>148</v>
      </c>
      <c r="Q75" s="11" t="s">
        <v>225</v>
      </c>
      <c r="R75" s="11"/>
    </row>
    <row r="76">
      <c r="A76" s="10">
        <v>46194.92163621528</v>
      </c>
      <c r="B76" s="11" t="s">
        <v>829</v>
      </c>
      <c r="C76" s="11" t="s">
        <v>821</v>
      </c>
      <c r="D76" s="11" t="s">
        <v>826</v>
      </c>
      <c r="E76" s="21" t="s">
        <v>912</v>
      </c>
      <c r="F76" s="11">
        <v>186.0</v>
      </c>
      <c r="G76" s="11">
        <v>3.351</v>
      </c>
      <c r="H76" s="11" t="s">
        <v>49</v>
      </c>
      <c r="I76" s="11" t="s">
        <v>59</v>
      </c>
      <c r="J76" s="11" t="s">
        <v>110</v>
      </c>
      <c r="K76" s="11" t="s">
        <v>70</v>
      </c>
      <c r="L76" s="11" t="s">
        <v>55</v>
      </c>
      <c r="M76" s="11" t="s">
        <v>36</v>
      </c>
      <c r="N76" s="11" t="s">
        <v>145</v>
      </c>
      <c r="O76" s="11" t="s">
        <v>166</v>
      </c>
      <c r="P76" s="11" t="s">
        <v>148</v>
      </c>
      <c r="Q76" s="11" t="s">
        <v>323</v>
      </c>
      <c r="R76" s="11" t="s">
        <v>53</v>
      </c>
    </row>
    <row r="77">
      <c r="A77" s="10">
        <v>46176.685373182874</v>
      </c>
      <c r="B77" s="11" t="s">
        <v>474</v>
      </c>
      <c r="C77" s="11" t="s">
        <v>177</v>
      </c>
      <c r="D77" s="11" t="s">
        <v>473</v>
      </c>
      <c r="E77" s="21" t="s">
        <v>916</v>
      </c>
      <c r="F77" s="11">
        <v>185.0</v>
      </c>
      <c r="G77" s="11">
        <v>3.75</v>
      </c>
      <c r="H77" s="11" t="s">
        <v>49</v>
      </c>
      <c r="I77" s="11" t="s">
        <v>59</v>
      </c>
      <c r="J77" s="11" t="s">
        <v>53</v>
      </c>
      <c r="K77" s="11" t="s">
        <v>52</v>
      </c>
      <c r="L77" s="11" t="s">
        <v>145</v>
      </c>
      <c r="M77" s="11" t="s">
        <v>110</v>
      </c>
    </row>
    <row r="78">
      <c r="A78" s="10">
        <v>46192.7993504051</v>
      </c>
      <c r="B78" s="11" t="s">
        <v>922</v>
      </c>
      <c r="C78" s="11" t="s">
        <v>923</v>
      </c>
      <c r="D78" s="11" t="s">
        <v>925</v>
      </c>
      <c r="E78" s="21" t="s">
        <v>927</v>
      </c>
      <c r="F78" s="11">
        <v>181.5</v>
      </c>
      <c r="G78" s="11">
        <v>3.32</v>
      </c>
      <c r="H78" s="11" t="s">
        <v>49</v>
      </c>
      <c r="I78" s="11" t="s">
        <v>59</v>
      </c>
      <c r="J78" s="11" t="s">
        <v>148</v>
      </c>
      <c r="K78" s="11" t="s">
        <v>83</v>
      </c>
      <c r="L78" s="11" t="s">
        <v>53</v>
      </c>
      <c r="M78" s="11" t="s">
        <v>60</v>
      </c>
      <c r="N78" s="11" t="s">
        <v>36</v>
      </c>
      <c r="O78" s="11" t="s">
        <v>85</v>
      </c>
      <c r="P78" s="11" t="s">
        <v>82</v>
      </c>
      <c r="Q78" s="11" t="s">
        <v>145</v>
      </c>
      <c r="R78" s="11" t="s">
        <v>80</v>
      </c>
    </row>
    <row r="79">
      <c r="A79" s="10">
        <v>46193.98433302084</v>
      </c>
      <c r="B79" s="11" t="s">
        <v>933</v>
      </c>
      <c r="C79" s="11" t="s">
        <v>934</v>
      </c>
      <c r="D79" s="11" t="s">
        <v>935</v>
      </c>
      <c r="E79" s="21" t="s">
        <v>936</v>
      </c>
      <c r="F79" s="11">
        <v>180.0</v>
      </c>
      <c r="G79" s="11">
        <v>3.49</v>
      </c>
      <c r="H79" s="11" t="s">
        <v>49</v>
      </c>
      <c r="I79" s="11" t="s">
        <v>59</v>
      </c>
      <c r="J79" s="11" t="s">
        <v>52</v>
      </c>
      <c r="K79" s="11" t="s">
        <v>364</v>
      </c>
      <c r="L79" s="11" t="s">
        <v>54</v>
      </c>
      <c r="M79" s="11" t="s">
        <v>53</v>
      </c>
      <c r="N79" s="11" t="s">
        <v>56</v>
      </c>
      <c r="O79" s="11" t="s">
        <v>145</v>
      </c>
      <c r="P79" s="11" t="s">
        <v>60</v>
      </c>
      <c r="Q79" s="11" t="s">
        <v>191</v>
      </c>
      <c r="R79" s="11" t="s">
        <v>291</v>
      </c>
    </row>
    <row r="80">
      <c r="A80" s="10">
        <v>46176.5665967824</v>
      </c>
      <c r="B80" s="11" t="s">
        <v>673</v>
      </c>
      <c r="C80" s="11" t="s">
        <v>671</v>
      </c>
      <c r="D80" s="11" t="s">
        <v>672</v>
      </c>
      <c r="E80" s="21" t="s">
        <v>942</v>
      </c>
      <c r="F80" s="11">
        <v>169.0</v>
      </c>
      <c r="G80" s="11">
        <v>3.38</v>
      </c>
      <c r="H80" s="11" t="s">
        <v>49</v>
      </c>
      <c r="I80" s="11" t="s">
        <v>59</v>
      </c>
      <c r="J80" s="11" t="s">
        <v>53</v>
      </c>
      <c r="K80" s="11" t="s">
        <v>145</v>
      </c>
      <c r="L80" s="11" t="s">
        <v>54</v>
      </c>
      <c r="M80" s="11" t="s">
        <v>52</v>
      </c>
      <c r="N80" s="11" t="s">
        <v>36</v>
      </c>
      <c r="O80" s="11" t="s">
        <v>51</v>
      </c>
      <c r="P80" s="11" t="s">
        <v>83</v>
      </c>
      <c r="Q80" s="11" t="s">
        <v>82</v>
      </c>
      <c r="R80" s="11" t="s">
        <v>305</v>
      </c>
    </row>
    <row r="81">
      <c r="A81" s="10">
        <v>46177.130690254635</v>
      </c>
      <c r="B81" s="11" t="s">
        <v>172</v>
      </c>
      <c r="C81" s="11" t="s">
        <v>163</v>
      </c>
      <c r="D81" s="11" t="s">
        <v>170</v>
      </c>
      <c r="E81" s="21" t="s">
        <v>946</v>
      </c>
      <c r="F81" s="11">
        <v>168.0</v>
      </c>
      <c r="G81" s="11">
        <v>3.99</v>
      </c>
      <c r="H81" s="11" t="s">
        <v>49</v>
      </c>
      <c r="I81" s="11" t="s">
        <v>59</v>
      </c>
      <c r="J81" s="11" t="s">
        <v>145</v>
      </c>
      <c r="K81" s="11" t="s">
        <v>36</v>
      </c>
      <c r="L81" s="11" t="s">
        <v>53</v>
      </c>
      <c r="M81" s="11" t="s">
        <v>54</v>
      </c>
      <c r="N81" s="11" t="s">
        <v>52</v>
      </c>
      <c r="O81" s="11" t="s">
        <v>60</v>
      </c>
      <c r="P81" s="11" t="s">
        <v>56</v>
      </c>
      <c r="Q81" s="11" t="s">
        <v>55</v>
      </c>
      <c r="R81" s="11" t="s">
        <v>58</v>
      </c>
    </row>
    <row r="82">
      <c r="A82" s="10">
        <v>46195.839114629634</v>
      </c>
      <c r="B82" s="11" t="s">
        <v>949</v>
      </c>
      <c r="C82" s="11" t="s">
        <v>406</v>
      </c>
      <c r="D82" s="11" t="s">
        <v>950</v>
      </c>
      <c r="E82" s="21" t="s">
        <v>952</v>
      </c>
      <c r="F82" s="11">
        <v>164.0</v>
      </c>
      <c r="G82" s="11">
        <v>3.0</v>
      </c>
      <c r="H82" s="11" t="s">
        <v>49</v>
      </c>
      <c r="I82" s="11" t="s">
        <v>59</v>
      </c>
      <c r="J82" s="11" t="s">
        <v>60</v>
      </c>
      <c r="K82" s="11" t="s">
        <v>148</v>
      </c>
      <c r="L82" s="11" t="s">
        <v>83</v>
      </c>
      <c r="M82" s="11" t="s">
        <v>36</v>
      </c>
      <c r="N82" s="11" t="s">
        <v>364</v>
      </c>
      <c r="O82" s="11" t="s">
        <v>166</v>
      </c>
      <c r="P82" s="11" t="s">
        <v>55</v>
      </c>
      <c r="Q82" s="11" t="s">
        <v>145</v>
      </c>
      <c r="R82" s="11" t="s">
        <v>56</v>
      </c>
    </row>
    <row r="83">
      <c r="A83" s="10">
        <v>46194.69585655093</v>
      </c>
      <c r="B83" s="11" t="s">
        <v>960</v>
      </c>
      <c r="C83" s="11" t="s">
        <v>961</v>
      </c>
      <c r="D83" s="11" t="s">
        <v>962</v>
      </c>
      <c r="E83" s="21" t="s">
        <v>963</v>
      </c>
      <c r="F83" s="11">
        <v>157.0</v>
      </c>
      <c r="G83" s="11">
        <v>3.409</v>
      </c>
      <c r="H83" s="11" t="s">
        <v>49</v>
      </c>
      <c r="I83" s="11" t="s">
        <v>59</v>
      </c>
      <c r="J83" s="11" t="s">
        <v>53</v>
      </c>
      <c r="K83" s="11" t="s">
        <v>52</v>
      </c>
      <c r="L83" s="11" t="s">
        <v>110</v>
      </c>
      <c r="M83" s="11" t="s">
        <v>148</v>
      </c>
      <c r="N83" s="11" t="s">
        <v>145</v>
      </c>
      <c r="O83" s="11" t="s">
        <v>346</v>
      </c>
      <c r="P83" s="11" t="s">
        <v>341</v>
      </c>
      <c r="Q83" s="11" t="s">
        <v>54</v>
      </c>
      <c r="R83" s="11" t="s">
        <v>83</v>
      </c>
    </row>
    <row r="84">
      <c r="A84" s="10">
        <v>46195.89296805556</v>
      </c>
      <c r="B84" s="11" t="s">
        <v>967</v>
      </c>
      <c r="C84" s="11" t="s">
        <v>187</v>
      </c>
      <c r="D84" s="11" t="s">
        <v>970</v>
      </c>
      <c r="E84" s="21" t="s">
        <v>971</v>
      </c>
      <c r="F84" s="11">
        <v>130.0</v>
      </c>
      <c r="G84" s="11">
        <v>3.63</v>
      </c>
      <c r="H84" s="11" t="s">
        <v>49</v>
      </c>
      <c r="I84" s="11" t="s">
        <v>59</v>
      </c>
      <c r="J84" s="11" t="s">
        <v>36</v>
      </c>
      <c r="K84" s="11" t="s">
        <v>53</v>
      </c>
      <c r="L84" s="11" t="s">
        <v>323</v>
      </c>
      <c r="M84" s="11" t="s">
        <v>273</v>
      </c>
      <c r="N84" s="11" t="s">
        <v>169</v>
      </c>
      <c r="O84" s="11" t="s">
        <v>52</v>
      </c>
      <c r="P84" s="11" t="s">
        <v>83</v>
      </c>
      <c r="Q84" s="11" t="s">
        <v>346</v>
      </c>
      <c r="R84" s="11" t="s">
        <v>207</v>
      </c>
    </row>
    <row r="85">
      <c r="A85" s="10">
        <v>46195.81283260416</v>
      </c>
      <c r="B85" s="11" t="s">
        <v>977</v>
      </c>
      <c r="C85" s="11" t="s">
        <v>978</v>
      </c>
      <c r="D85" s="11" t="s">
        <v>979</v>
      </c>
      <c r="E85" s="21" t="s">
        <v>980</v>
      </c>
      <c r="F85" s="11">
        <v>116.0</v>
      </c>
      <c r="G85" s="11">
        <v>3.6</v>
      </c>
      <c r="H85" s="11" t="s">
        <v>49</v>
      </c>
      <c r="I85" s="11" t="s">
        <v>59</v>
      </c>
      <c r="J85" s="11" t="s">
        <v>53</v>
      </c>
      <c r="K85" s="11" t="s">
        <v>293</v>
      </c>
      <c r="L85" s="11" t="s">
        <v>305</v>
      </c>
      <c r="M85" s="11" t="s">
        <v>52</v>
      </c>
      <c r="N85" s="11" t="s">
        <v>336</v>
      </c>
      <c r="O85" s="11" t="s">
        <v>83</v>
      </c>
      <c r="P85" s="11" t="s">
        <v>291</v>
      </c>
      <c r="Q85" s="11" t="s">
        <v>36</v>
      </c>
      <c r="R85" s="11" t="s">
        <v>109</v>
      </c>
    </row>
    <row r="86">
      <c r="A86" s="10">
        <v>46195.981222118055</v>
      </c>
      <c r="B86" s="11" t="s">
        <v>987</v>
      </c>
      <c r="C86" s="11" t="s">
        <v>988</v>
      </c>
      <c r="D86" s="11" t="s">
        <v>989</v>
      </c>
      <c r="E86" s="21" t="s">
        <v>990</v>
      </c>
      <c r="F86" s="11">
        <v>217.0</v>
      </c>
      <c r="G86" s="11">
        <v>3.715</v>
      </c>
      <c r="H86" s="11" t="s">
        <v>49</v>
      </c>
      <c r="I86" s="11" t="s">
        <v>109</v>
      </c>
      <c r="J86" s="11" t="s">
        <v>105</v>
      </c>
      <c r="K86" s="11" t="s">
        <v>145</v>
      </c>
      <c r="L86" s="11" t="s">
        <v>191</v>
      </c>
      <c r="M86" s="11" t="s">
        <v>166</v>
      </c>
      <c r="N86" s="11" t="s">
        <v>207</v>
      </c>
      <c r="O86" s="11" t="s">
        <v>191</v>
      </c>
      <c r="P86" s="11" t="s">
        <v>54</v>
      </c>
      <c r="Q86" s="11" t="s">
        <v>70</v>
      </c>
      <c r="R86" s="11" t="s">
        <v>197</v>
      </c>
    </row>
    <row r="87">
      <c r="A87" s="10">
        <v>46190.61198954861</v>
      </c>
      <c r="B87" s="11" t="s">
        <v>993</v>
      </c>
      <c r="C87" s="11" t="s">
        <v>198</v>
      </c>
      <c r="D87" s="11" t="s">
        <v>994</v>
      </c>
      <c r="E87" s="21" t="s">
        <v>995</v>
      </c>
      <c r="F87" s="11">
        <v>251.0</v>
      </c>
      <c r="G87" s="11">
        <v>3.859</v>
      </c>
      <c r="H87" s="11" t="s">
        <v>49</v>
      </c>
      <c r="I87" s="11" t="s">
        <v>166</v>
      </c>
      <c r="J87" s="11" t="s">
        <v>145</v>
      </c>
      <c r="K87" s="11" t="s">
        <v>60</v>
      </c>
      <c r="L87" s="11" t="s">
        <v>36</v>
      </c>
      <c r="M87" s="11" t="s">
        <v>73</v>
      </c>
      <c r="N87" s="11" t="s">
        <v>54</v>
      </c>
      <c r="O87" s="11" t="s">
        <v>197</v>
      </c>
      <c r="P87" s="11" t="s">
        <v>273</v>
      </c>
      <c r="Q87" s="11" t="s">
        <v>207</v>
      </c>
      <c r="R87" s="11" t="s">
        <v>56</v>
      </c>
    </row>
    <row r="88">
      <c r="A88" s="10">
        <v>46193.85138165509</v>
      </c>
      <c r="B88" s="11" t="s">
        <v>1005</v>
      </c>
      <c r="C88" s="11" t="s">
        <v>156</v>
      </c>
      <c r="D88" s="11" t="s">
        <v>1006</v>
      </c>
      <c r="E88" s="21" t="s">
        <v>1007</v>
      </c>
      <c r="F88" s="11">
        <v>225.0</v>
      </c>
      <c r="G88" s="11">
        <v>3.68</v>
      </c>
      <c r="H88" s="11" t="s">
        <v>49</v>
      </c>
      <c r="I88" s="11" t="s">
        <v>166</v>
      </c>
      <c r="J88" s="11" t="s">
        <v>60</v>
      </c>
      <c r="K88" s="11" t="s">
        <v>148</v>
      </c>
      <c r="L88" s="11" t="s">
        <v>105</v>
      </c>
      <c r="M88" s="11" t="s">
        <v>145</v>
      </c>
      <c r="N88" s="11" t="s">
        <v>58</v>
      </c>
      <c r="O88" s="11" t="s">
        <v>36</v>
      </c>
      <c r="P88" s="11" t="s">
        <v>55</v>
      </c>
      <c r="Q88" s="11" t="s">
        <v>110</v>
      </c>
      <c r="R88" s="11" t="s">
        <v>169</v>
      </c>
    </row>
    <row r="89">
      <c r="A89" s="10">
        <v>46195.329126701385</v>
      </c>
      <c r="B89" s="11" t="s">
        <v>1013</v>
      </c>
      <c r="C89" s="11" t="s">
        <v>372</v>
      </c>
      <c r="D89" s="11" t="s">
        <v>1014</v>
      </c>
      <c r="E89" s="21" t="s">
        <v>1015</v>
      </c>
      <c r="F89" s="11">
        <v>200.5</v>
      </c>
      <c r="G89" s="11">
        <v>3.779</v>
      </c>
      <c r="H89" s="11" t="s">
        <v>49</v>
      </c>
      <c r="I89" s="11" t="s">
        <v>166</v>
      </c>
      <c r="J89" s="11" t="s">
        <v>54</v>
      </c>
      <c r="K89" s="11" t="s">
        <v>53</v>
      </c>
      <c r="L89" s="11" t="s">
        <v>52</v>
      </c>
      <c r="M89" s="11" t="s">
        <v>51</v>
      </c>
      <c r="N89" s="11" t="s">
        <v>293</v>
      </c>
      <c r="O89" s="11" t="s">
        <v>56</v>
      </c>
      <c r="P89" s="11" t="s">
        <v>171</v>
      </c>
      <c r="Q89" s="11" t="s">
        <v>305</v>
      </c>
      <c r="R89" s="11" t="s">
        <v>145</v>
      </c>
    </row>
    <row r="90">
      <c r="A90" s="10">
        <v>46194.910336643516</v>
      </c>
      <c r="B90" s="11" t="s">
        <v>1024</v>
      </c>
      <c r="C90" s="11" t="s">
        <v>1025</v>
      </c>
      <c r="D90" s="11" t="s">
        <v>1026</v>
      </c>
      <c r="E90" s="21" t="s">
        <v>1027</v>
      </c>
      <c r="F90" s="11">
        <v>255.0</v>
      </c>
      <c r="G90" s="11">
        <v>3.35</v>
      </c>
      <c r="H90" s="11" t="s">
        <v>49</v>
      </c>
      <c r="I90" s="11" t="s">
        <v>148</v>
      </c>
      <c r="J90" s="11" t="s">
        <v>36</v>
      </c>
      <c r="K90" s="11" t="s">
        <v>166</v>
      </c>
      <c r="L90" s="11" t="s">
        <v>55</v>
      </c>
      <c r="M90" s="11" t="s">
        <v>364</v>
      </c>
      <c r="N90" s="11" t="s">
        <v>82</v>
      </c>
      <c r="O90" s="11" t="s">
        <v>60</v>
      </c>
      <c r="P90" s="11" t="s">
        <v>171</v>
      </c>
      <c r="Q90" s="11" t="s">
        <v>197</v>
      </c>
      <c r="R90" s="11" t="s">
        <v>59</v>
      </c>
    </row>
    <row r="91">
      <c r="A91" s="10">
        <v>46194.83442429398</v>
      </c>
      <c r="B91" s="11" t="s">
        <v>1033</v>
      </c>
      <c r="C91" s="11" t="s">
        <v>210</v>
      </c>
      <c r="D91" s="11" t="s">
        <v>1034</v>
      </c>
      <c r="E91" s="21" t="s">
        <v>1035</v>
      </c>
      <c r="F91" s="11">
        <v>230.0</v>
      </c>
      <c r="G91" s="11">
        <v>3.23</v>
      </c>
      <c r="H91" s="11" t="s">
        <v>49</v>
      </c>
      <c r="I91" s="11" t="s">
        <v>148</v>
      </c>
      <c r="J91" s="11" t="s">
        <v>52</v>
      </c>
      <c r="K91" s="11" t="s">
        <v>53</v>
      </c>
      <c r="L91" s="11" t="s">
        <v>364</v>
      </c>
      <c r="M91" s="11" t="s">
        <v>171</v>
      </c>
    </row>
    <row r="92">
      <c r="A92" s="10">
        <v>46195.86964424769</v>
      </c>
      <c r="B92" s="11" t="s">
        <v>1041</v>
      </c>
      <c r="C92" s="11" t="s">
        <v>1042</v>
      </c>
      <c r="D92" s="11" t="s">
        <v>1043</v>
      </c>
      <c r="E92" s="21" t="s">
        <v>1044</v>
      </c>
      <c r="F92" s="11">
        <v>223.5</v>
      </c>
      <c r="G92" s="11">
        <v>3.65</v>
      </c>
      <c r="H92" s="11" t="s">
        <v>49</v>
      </c>
      <c r="I92" s="11" t="s">
        <v>148</v>
      </c>
      <c r="J92" s="11" t="s">
        <v>59</v>
      </c>
      <c r="K92" s="11" t="s">
        <v>191</v>
      </c>
      <c r="L92" s="11" t="s">
        <v>60</v>
      </c>
      <c r="M92" s="11" t="s">
        <v>364</v>
      </c>
      <c r="N92" s="11" t="s">
        <v>53</v>
      </c>
      <c r="O92" s="11" t="s">
        <v>54</v>
      </c>
      <c r="P92" s="11" t="s">
        <v>36</v>
      </c>
      <c r="Q92" s="11" t="s">
        <v>145</v>
      </c>
      <c r="R92" s="11" t="s">
        <v>166</v>
      </c>
    </row>
    <row r="93">
      <c r="A93" s="10">
        <v>46190.730745451394</v>
      </c>
      <c r="B93" s="11" t="s">
        <v>1050</v>
      </c>
      <c r="C93" s="11" t="s">
        <v>1051</v>
      </c>
      <c r="D93" s="11" t="s">
        <v>1052</v>
      </c>
      <c r="E93" s="21" t="s">
        <v>1053</v>
      </c>
      <c r="F93" s="11">
        <v>204.0</v>
      </c>
      <c r="G93" s="11">
        <v>3.763</v>
      </c>
      <c r="H93" s="11" t="s">
        <v>49</v>
      </c>
      <c r="I93" s="11" t="s">
        <v>148</v>
      </c>
      <c r="J93" s="11" t="s">
        <v>59</v>
      </c>
      <c r="K93" s="11" t="s">
        <v>53</v>
      </c>
      <c r="L93" s="11" t="s">
        <v>132</v>
      </c>
      <c r="M93" s="11" t="s">
        <v>197</v>
      </c>
      <c r="N93" s="11" t="s">
        <v>52</v>
      </c>
      <c r="O93" s="11" t="s">
        <v>323</v>
      </c>
      <c r="P93" s="11" t="s">
        <v>82</v>
      </c>
      <c r="Q93" s="11" t="s">
        <v>305</v>
      </c>
      <c r="R93" s="11" t="s">
        <v>336</v>
      </c>
    </row>
    <row r="94">
      <c r="A94" s="10">
        <v>46194.941549270836</v>
      </c>
      <c r="B94" s="11" t="s">
        <v>1055</v>
      </c>
      <c r="C94" s="11" t="s">
        <v>1057</v>
      </c>
      <c r="D94" s="11" t="s">
        <v>1058</v>
      </c>
      <c r="F94" s="11">
        <v>201.0</v>
      </c>
      <c r="G94" s="11">
        <v>3.275</v>
      </c>
      <c r="H94" s="11" t="s">
        <v>49</v>
      </c>
      <c r="I94" s="11" t="s">
        <v>148</v>
      </c>
      <c r="J94" s="11" t="s">
        <v>83</v>
      </c>
      <c r="K94" s="11" t="s">
        <v>53</v>
      </c>
      <c r="L94" s="11" t="s">
        <v>59</v>
      </c>
      <c r="M94" s="11" t="s">
        <v>54</v>
      </c>
      <c r="N94" s="11" t="s">
        <v>55</v>
      </c>
      <c r="O94" s="11" t="s">
        <v>36</v>
      </c>
      <c r="P94" s="11" t="s">
        <v>166</v>
      </c>
      <c r="Q94" s="11" t="s">
        <v>105</v>
      </c>
      <c r="R94" s="11" t="s">
        <v>53</v>
      </c>
    </row>
    <row r="95">
      <c r="A95" s="10">
        <v>46182.895090543985</v>
      </c>
      <c r="B95" s="11" t="s">
        <v>786</v>
      </c>
      <c r="C95" s="11" t="s">
        <v>778</v>
      </c>
      <c r="D95" s="11" t="s">
        <v>785</v>
      </c>
      <c r="E95" s="21" t="s">
        <v>1060</v>
      </c>
      <c r="F95" s="11">
        <v>199.0</v>
      </c>
      <c r="G95" s="11">
        <v>3.83</v>
      </c>
      <c r="H95" s="11" t="s">
        <v>49</v>
      </c>
      <c r="I95" s="11" t="s">
        <v>148</v>
      </c>
      <c r="J95" s="11" t="s">
        <v>36</v>
      </c>
      <c r="K95" s="11" t="s">
        <v>59</v>
      </c>
      <c r="L95" s="11" t="s">
        <v>56</v>
      </c>
      <c r="M95" s="11" t="s">
        <v>82</v>
      </c>
    </row>
    <row r="96">
      <c r="A96" s="10">
        <v>46192.37298878472</v>
      </c>
      <c r="B96" s="11" t="s">
        <v>1069</v>
      </c>
      <c r="C96" s="11" t="s">
        <v>212</v>
      </c>
      <c r="D96" s="11" t="s">
        <v>1070</v>
      </c>
      <c r="E96" s="21" t="s">
        <v>1071</v>
      </c>
      <c r="F96" s="11">
        <v>191.5</v>
      </c>
      <c r="G96" s="11">
        <v>3.74</v>
      </c>
      <c r="H96" s="11" t="s">
        <v>49</v>
      </c>
      <c r="I96" s="11" t="s">
        <v>148</v>
      </c>
      <c r="J96" s="11" t="s">
        <v>59</v>
      </c>
      <c r="K96" s="11" t="s">
        <v>60</v>
      </c>
      <c r="L96" s="11" t="s">
        <v>323</v>
      </c>
      <c r="M96" s="11" t="s">
        <v>85</v>
      </c>
    </row>
    <row r="97">
      <c r="A97" s="10">
        <v>46188.766226377316</v>
      </c>
      <c r="B97" s="11" t="s">
        <v>1077</v>
      </c>
      <c r="C97" s="11" t="s">
        <v>1078</v>
      </c>
      <c r="D97" s="11" t="s">
        <v>1079</v>
      </c>
      <c r="F97" s="11">
        <v>186.0</v>
      </c>
      <c r="G97" s="11">
        <v>3.2</v>
      </c>
      <c r="H97" s="11" t="s">
        <v>49</v>
      </c>
      <c r="I97" s="11" t="s">
        <v>148</v>
      </c>
      <c r="J97" s="11" t="s">
        <v>83</v>
      </c>
      <c r="K97" s="11" t="s">
        <v>336</v>
      </c>
      <c r="L97" s="11" t="s">
        <v>54</v>
      </c>
      <c r="M97" s="11" t="s">
        <v>82</v>
      </c>
      <c r="N97" s="11" t="s">
        <v>293</v>
      </c>
      <c r="O97" s="11" t="s">
        <v>132</v>
      </c>
      <c r="P97" s="11" t="s">
        <v>53</v>
      </c>
      <c r="Q97" s="11" t="s">
        <v>166</v>
      </c>
      <c r="R97" s="11" t="s">
        <v>60</v>
      </c>
    </row>
    <row r="98">
      <c r="A98" s="10">
        <v>46191.53940105324</v>
      </c>
      <c r="B98" s="11" t="s">
        <v>957</v>
      </c>
      <c r="C98" s="11" t="s">
        <v>213</v>
      </c>
      <c r="D98" s="11" t="s">
        <v>955</v>
      </c>
      <c r="E98" s="21" t="s">
        <v>1083</v>
      </c>
      <c r="F98" s="11">
        <v>182.0</v>
      </c>
      <c r="G98" s="11">
        <v>3.702</v>
      </c>
      <c r="H98" s="11" t="s">
        <v>49</v>
      </c>
      <c r="I98" s="11" t="s">
        <v>148</v>
      </c>
      <c r="J98" s="11" t="s">
        <v>323</v>
      </c>
      <c r="K98" s="11" t="s">
        <v>70</v>
      </c>
      <c r="L98" s="11" t="s">
        <v>60</v>
      </c>
      <c r="M98" s="11" t="s">
        <v>364</v>
      </c>
    </row>
    <row r="99">
      <c r="A99" s="10">
        <v>46195.519627835645</v>
      </c>
      <c r="B99" s="11" t="s">
        <v>146</v>
      </c>
      <c r="C99" s="11" t="s">
        <v>129</v>
      </c>
      <c r="D99" s="11" t="s">
        <v>143</v>
      </c>
      <c r="E99" s="21" t="s">
        <v>1093</v>
      </c>
      <c r="F99" s="11">
        <v>174.0</v>
      </c>
      <c r="G99" s="11">
        <v>3.929</v>
      </c>
      <c r="H99" s="11" t="s">
        <v>49</v>
      </c>
      <c r="I99" s="11" t="s">
        <v>148</v>
      </c>
      <c r="J99" s="11" t="s">
        <v>105</v>
      </c>
      <c r="K99" s="11" t="s">
        <v>55</v>
      </c>
      <c r="L99" s="11" t="s">
        <v>70</v>
      </c>
      <c r="M99" s="11" t="s">
        <v>110</v>
      </c>
    </row>
    <row r="100">
      <c r="A100" s="10">
        <v>46195.9493993287</v>
      </c>
      <c r="B100" s="11" t="s">
        <v>666</v>
      </c>
      <c r="C100" s="11" t="s">
        <v>664</v>
      </c>
      <c r="D100" s="11" t="s">
        <v>665</v>
      </c>
      <c r="E100" s="21" t="s">
        <v>1096</v>
      </c>
      <c r="F100" s="11">
        <v>172.5</v>
      </c>
      <c r="G100" s="11">
        <v>2.952</v>
      </c>
      <c r="H100" s="11" t="s">
        <v>49</v>
      </c>
      <c r="I100" s="11" t="s">
        <v>148</v>
      </c>
      <c r="J100" s="11" t="s">
        <v>36</v>
      </c>
      <c r="K100" s="11" t="s">
        <v>166</v>
      </c>
      <c r="L100" s="11" t="s">
        <v>55</v>
      </c>
      <c r="M100" s="11" t="s">
        <v>364</v>
      </c>
      <c r="N100" s="11" t="s">
        <v>82</v>
      </c>
      <c r="O100" s="11" t="s">
        <v>60</v>
      </c>
      <c r="P100" s="11" t="s">
        <v>171</v>
      </c>
      <c r="Q100" s="11" t="s">
        <v>197</v>
      </c>
      <c r="R100" s="11" t="s">
        <v>59</v>
      </c>
    </row>
    <row r="101">
      <c r="A101" s="10">
        <v>46191.42794657407</v>
      </c>
      <c r="B101" s="11" t="s">
        <v>694</v>
      </c>
      <c r="C101" s="11" t="s">
        <v>692</v>
      </c>
      <c r="D101" s="11" t="s">
        <v>693</v>
      </c>
      <c r="E101" s="21" t="s">
        <v>1102</v>
      </c>
      <c r="F101" s="11">
        <v>166.5</v>
      </c>
      <c r="G101" s="11">
        <v>3.66</v>
      </c>
      <c r="H101" s="11" t="s">
        <v>49</v>
      </c>
      <c r="I101" s="11" t="s">
        <v>148</v>
      </c>
      <c r="J101" s="11" t="s">
        <v>105</v>
      </c>
      <c r="K101" s="11" t="s">
        <v>364</v>
      </c>
      <c r="L101" s="11" t="s">
        <v>197</v>
      </c>
      <c r="M101" s="11" t="s">
        <v>54</v>
      </c>
      <c r="N101" s="11" t="s">
        <v>132</v>
      </c>
      <c r="O101" s="11" t="s">
        <v>36</v>
      </c>
      <c r="P101" s="11" t="s">
        <v>235</v>
      </c>
      <c r="Q101" s="11" t="s">
        <v>59</v>
      </c>
      <c r="R101" s="11" t="s">
        <v>225</v>
      </c>
    </row>
    <row r="102">
      <c r="A102" s="10">
        <v>46195.654717199075</v>
      </c>
      <c r="B102" s="11" t="s">
        <v>580</v>
      </c>
      <c r="C102" s="11" t="s">
        <v>405</v>
      </c>
      <c r="D102" s="11" t="s">
        <v>579</v>
      </c>
      <c r="E102" s="21" t="s">
        <v>1109</v>
      </c>
      <c r="F102" s="11">
        <v>166.0</v>
      </c>
      <c r="G102" s="11">
        <v>3.59</v>
      </c>
      <c r="H102" s="11" t="s">
        <v>49</v>
      </c>
      <c r="I102" s="11" t="s">
        <v>148</v>
      </c>
      <c r="J102" s="11" t="s">
        <v>60</v>
      </c>
      <c r="K102" s="11" t="s">
        <v>36</v>
      </c>
      <c r="L102" s="11" t="s">
        <v>73</v>
      </c>
      <c r="M102" s="11" t="s">
        <v>54</v>
      </c>
      <c r="N102" s="11" t="s">
        <v>59</v>
      </c>
      <c r="O102" s="11" t="s">
        <v>145</v>
      </c>
      <c r="P102" s="11" t="s">
        <v>197</v>
      </c>
      <c r="Q102" s="11" t="s">
        <v>55</v>
      </c>
      <c r="R102" s="11" t="s">
        <v>105</v>
      </c>
    </row>
    <row r="103">
      <c r="A103" s="10">
        <v>46191.53827256944</v>
      </c>
      <c r="B103" s="11" t="s">
        <v>1116</v>
      </c>
      <c r="C103" s="11" t="s">
        <v>209</v>
      </c>
      <c r="D103" s="11" t="s">
        <v>1117</v>
      </c>
      <c r="E103" s="21" t="s">
        <v>1118</v>
      </c>
      <c r="F103" s="11">
        <v>164.0</v>
      </c>
      <c r="G103" s="11">
        <v>3.89</v>
      </c>
      <c r="H103" s="11" t="s">
        <v>49</v>
      </c>
      <c r="I103" s="11" t="s">
        <v>148</v>
      </c>
      <c r="J103" s="11" t="s">
        <v>109</v>
      </c>
      <c r="K103" s="11" t="s">
        <v>169</v>
      </c>
      <c r="L103" s="11" t="s">
        <v>60</v>
      </c>
      <c r="M103" s="11" t="s">
        <v>171</v>
      </c>
    </row>
    <row r="104">
      <c r="A104" s="10">
        <v>46195.318034236116</v>
      </c>
      <c r="B104" s="11" t="s">
        <v>1122</v>
      </c>
      <c r="C104" s="11" t="s">
        <v>161</v>
      </c>
      <c r="D104" s="11" t="s">
        <v>1123</v>
      </c>
      <c r="E104" s="21" t="s">
        <v>1124</v>
      </c>
      <c r="F104" s="11">
        <v>158.0</v>
      </c>
      <c r="G104" s="11">
        <v>3.893</v>
      </c>
      <c r="H104" s="11" t="s">
        <v>49</v>
      </c>
      <c r="I104" s="11" t="s">
        <v>148</v>
      </c>
      <c r="J104" s="11" t="s">
        <v>59</v>
      </c>
      <c r="K104" s="11" t="s">
        <v>58</v>
      </c>
      <c r="L104" s="11" t="s">
        <v>197</v>
      </c>
      <c r="M104" s="11" t="s">
        <v>55</v>
      </c>
      <c r="N104" s="11" t="s">
        <v>110</v>
      </c>
      <c r="O104" s="11" t="s">
        <v>80</v>
      </c>
      <c r="P104" s="11" t="s">
        <v>36</v>
      </c>
      <c r="Q104" s="11" t="s">
        <v>225</v>
      </c>
      <c r="R104" s="11" t="s">
        <v>323</v>
      </c>
    </row>
    <row r="105">
      <c r="A105" s="10">
        <v>46195.687806574075</v>
      </c>
      <c r="B105" s="11" t="s">
        <v>1130</v>
      </c>
      <c r="C105" s="11" t="s">
        <v>1131</v>
      </c>
      <c r="D105" s="11" t="s">
        <v>1132</v>
      </c>
      <c r="F105" s="11">
        <v>153.0</v>
      </c>
      <c r="G105" s="11">
        <v>3.903</v>
      </c>
      <c r="H105" s="11" t="s">
        <v>49</v>
      </c>
      <c r="I105" s="11" t="s">
        <v>148</v>
      </c>
      <c r="J105" s="11" t="s">
        <v>323</v>
      </c>
      <c r="K105" s="11" t="s">
        <v>59</v>
      </c>
      <c r="L105" s="11" t="s">
        <v>73</v>
      </c>
      <c r="M105" s="11" t="s">
        <v>36</v>
      </c>
      <c r="N105" s="11" t="s">
        <v>364</v>
      </c>
      <c r="O105" s="11" t="s">
        <v>82</v>
      </c>
      <c r="P105" s="11" t="s">
        <v>53</v>
      </c>
      <c r="Q105" s="11" t="s">
        <v>207</v>
      </c>
      <c r="R105" s="11" t="s">
        <v>291</v>
      </c>
    </row>
    <row r="106">
      <c r="A106" s="10">
        <v>46191.40753574074</v>
      </c>
      <c r="B106" s="11" t="s">
        <v>1009</v>
      </c>
      <c r="C106" s="11" t="s">
        <v>214</v>
      </c>
      <c r="D106" s="11" t="s">
        <v>1008</v>
      </c>
      <c r="E106" s="21" t="s">
        <v>1133</v>
      </c>
      <c r="F106" s="11">
        <v>129.0</v>
      </c>
      <c r="G106" s="11">
        <v>3.55</v>
      </c>
      <c r="H106" s="11" t="s">
        <v>49</v>
      </c>
      <c r="I106" s="11" t="s">
        <v>148</v>
      </c>
      <c r="J106" s="11" t="s">
        <v>66</v>
      </c>
      <c r="K106" s="11" t="s">
        <v>59</v>
      </c>
      <c r="L106" s="11" t="s">
        <v>82</v>
      </c>
      <c r="M106" s="11" t="s">
        <v>225</v>
      </c>
    </row>
    <row r="107">
      <c r="A107" s="10">
        <v>46194.72421785879</v>
      </c>
      <c r="B107" s="11" t="s">
        <v>1134</v>
      </c>
      <c r="C107" s="11" t="s">
        <v>154</v>
      </c>
      <c r="D107" s="11" t="s">
        <v>1135</v>
      </c>
      <c r="E107" s="21" t="s">
        <v>1136</v>
      </c>
      <c r="F107" s="11">
        <v>206.0</v>
      </c>
      <c r="G107" s="11">
        <v>3.273</v>
      </c>
      <c r="H107" s="11" t="s">
        <v>49</v>
      </c>
      <c r="I107" s="11" t="s">
        <v>169</v>
      </c>
      <c r="J107" s="11" t="s">
        <v>58</v>
      </c>
      <c r="K107" s="11" t="s">
        <v>171</v>
      </c>
      <c r="L107" s="11" t="s">
        <v>66</v>
      </c>
      <c r="M107" s="11" t="s">
        <v>73</v>
      </c>
      <c r="N107" s="11" t="s">
        <v>109</v>
      </c>
      <c r="O107" s="11" t="s">
        <v>54</v>
      </c>
      <c r="P107" s="11" t="s">
        <v>52</v>
      </c>
      <c r="Q107" s="11" t="s">
        <v>51</v>
      </c>
      <c r="R107" s="11" t="s">
        <v>166</v>
      </c>
    </row>
    <row r="108">
      <c r="A108" s="10">
        <v>46195.757600983794</v>
      </c>
      <c r="B108" s="11" t="s">
        <v>1139</v>
      </c>
      <c r="C108" s="11" t="s">
        <v>99</v>
      </c>
      <c r="D108" s="11" t="s">
        <v>1140</v>
      </c>
      <c r="E108" s="21" t="s">
        <v>1141</v>
      </c>
      <c r="F108" s="11">
        <v>198.5</v>
      </c>
      <c r="G108" s="11">
        <v>3.96</v>
      </c>
      <c r="H108" s="11" t="s">
        <v>49</v>
      </c>
      <c r="I108" s="11" t="s">
        <v>169</v>
      </c>
      <c r="J108" s="11" t="s">
        <v>110</v>
      </c>
      <c r="K108" s="11" t="s">
        <v>105</v>
      </c>
      <c r="L108" s="11" t="s">
        <v>55</v>
      </c>
      <c r="M108" s="11" t="s">
        <v>207</v>
      </c>
      <c r="N108" s="11" t="s">
        <v>219</v>
      </c>
      <c r="O108" s="11" t="s">
        <v>273</v>
      </c>
      <c r="P108" s="11" t="s">
        <v>323</v>
      </c>
      <c r="Q108" s="11" t="s">
        <v>59</v>
      </c>
      <c r="R108" s="11" t="s">
        <v>148</v>
      </c>
    </row>
    <row r="109">
      <c r="A109" s="10">
        <v>46195.498139675925</v>
      </c>
      <c r="B109" s="11" t="s">
        <v>1142</v>
      </c>
      <c r="C109" s="11" t="s">
        <v>1143</v>
      </c>
      <c r="D109" s="11" t="s">
        <v>1144</v>
      </c>
      <c r="E109" s="21" t="s">
        <v>1145</v>
      </c>
      <c r="F109" s="11">
        <v>189.0</v>
      </c>
      <c r="G109" s="11">
        <v>3.344</v>
      </c>
      <c r="H109" s="11" t="s">
        <v>49</v>
      </c>
      <c r="I109" s="11" t="s">
        <v>169</v>
      </c>
      <c r="J109" s="11" t="s">
        <v>171</v>
      </c>
      <c r="K109" s="11" t="s">
        <v>59</v>
      </c>
      <c r="L109" s="11" t="s">
        <v>73</v>
      </c>
      <c r="M109" s="11" t="s">
        <v>197</v>
      </c>
      <c r="N109" s="11" t="s">
        <v>60</v>
      </c>
      <c r="O109" s="11" t="s">
        <v>53</v>
      </c>
      <c r="P109" s="11" t="s">
        <v>70</v>
      </c>
      <c r="Q109" s="11" t="s">
        <v>54</v>
      </c>
      <c r="R109" s="11" t="s">
        <v>36</v>
      </c>
    </row>
    <row r="110">
      <c r="A110" s="10">
        <v>46192.31731766203</v>
      </c>
      <c r="B110" s="11" t="s">
        <v>1148</v>
      </c>
      <c r="C110" s="11" t="s">
        <v>1149</v>
      </c>
      <c r="D110" s="11" t="s">
        <v>1150</v>
      </c>
      <c r="E110" s="21" t="s">
        <v>1151</v>
      </c>
      <c r="F110" s="11">
        <v>180.0</v>
      </c>
      <c r="G110" s="11">
        <v>3.94</v>
      </c>
      <c r="H110" s="11" t="s">
        <v>49</v>
      </c>
      <c r="I110" s="11" t="s">
        <v>169</v>
      </c>
      <c r="J110" s="11" t="s">
        <v>109</v>
      </c>
      <c r="K110" s="11" t="s">
        <v>66</v>
      </c>
      <c r="L110" s="11" t="s">
        <v>70</v>
      </c>
      <c r="M110" s="11" t="s">
        <v>171</v>
      </c>
      <c r="N110" s="11" t="s">
        <v>55</v>
      </c>
      <c r="O110" s="11" t="s">
        <v>145</v>
      </c>
      <c r="P110" s="11" t="s">
        <v>60</v>
      </c>
      <c r="Q110" s="11" t="s">
        <v>166</v>
      </c>
      <c r="R110" s="11" t="s">
        <v>36</v>
      </c>
    </row>
    <row r="111">
      <c r="A111" s="10">
        <v>46195.902290694445</v>
      </c>
      <c r="B111" s="11" t="s">
        <v>203</v>
      </c>
      <c r="C111" s="11" t="s">
        <v>194</v>
      </c>
      <c r="D111" s="11" t="s">
        <v>201</v>
      </c>
      <c r="F111" s="11">
        <v>249.0</v>
      </c>
      <c r="G111" s="11">
        <v>3.65</v>
      </c>
      <c r="H111" s="11" t="s">
        <v>49</v>
      </c>
      <c r="I111" s="11" t="s">
        <v>191</v>
      </c>
      <c r="J111" s="11" t="s">
        <v>59</v>
      </c>
      <c r="K111" s="11" t="s">
        <v>171</v>
      </c>
      <c r="L111" s="11" t="s">
        <v>197</v>
      </c>
      <c r="M111" s="11" t="s">
        <v>73</v>
      </c>
      <c r="N111" s="11" t="s">
        <v>148</v>
      </c>
      <c r="O111" s="11" t="s">
        <v>52</v>
      </c>
      <c r="P111" s="11" t="s">
        <v>55</v>
      </c>
      <c r="Q111" s="11" t="s">
        <v>36</v>
      </c>
      <c r="R111" s="11" t="s">
        <v>323</v>
      </c>
    </row>
    <row r="112">
      <c r="A112" s="10">
        <v>46192.809504108794</v>
      </c>
      <c r="B112" s="11" t="s">
        <v>570</v>
      </c>
      <c r="C112" s="11" t="s">
        <v>568</v>
      </c>
      <c r="D112" s="11" t="s">
        <v>569</v>
      </c>
      <c r="E112" s="21" t="s">
        <v>1152</v>
      </c>
      <c r="F112" s="11">
        <v>244.0</v>
      </c>
      <c r="G112" s="11">
        <v>3.632</v>
      </c>
      <c r="H112" s="11" t="s">
        <v>49</v>
      </c>
      <c r="I112" s="11" t="s">
        <v>191</v>
      </c>
      <c r="J112" s="11" t="s">
        <v>171</v>
      </c>
      <c r="K112" s="11" t="s">
        <v>197</v>
      </c>
      <c r="L112" s="11" t="s">
        <v>59</v>
      </c>
      <c r="M112" s="11" t="s">
        <v>73</v>
      </c>
      <c r="N112" s="11" t="s">
        <v>36</v>
      </c>
      <c r="O112" s="11" t="s">
        <v>148</v>
      </c>
      <c r="P112" s="11" t="s">
        <v>166</v>
      </c>
      <c r="Q112" s="11" t="s">
        <v>60</v>
      </c>
      <c r="R112" s="11" t="s">
        <v>34</v>
      </c>
    </row>
    <row r="113">
      <c r="A113" s="10">
        <v>46192.77963099537</v>
      </c>
      <c r="B113" s="11" t="s">
        <v>1153</v>
      </c>
      <c r="C113" s="11" t="s">
        <v>1154</v>
      </c>
      <c r="D113" s="11" t="s">
        <v>1155</v>
      </c>
      <c r="E113" s="21" t="s">
        <v>1156</v>
      </c>
      <c r="F113" s="11">
        <v>225.0</v>
      </c>
      <c r="G113" s="11">
        <v>3.92</v>
      </c>
      <c r="H113" s="11" t="s">
        <v>49</v>
      </c>
      <c r="I113" s="11" t="s">
        <v>191</v>
      </c>
      <c r="J113" s="11" t="s">
        <v>171</v>
      </c>
      <c r="K113" s="11" t="s">
        <v>197</v>
      </c>
      <c r="L113" s="11" t="s">
        <v>59</v>
      </c>
      <c r="M113" s="11" t="s">
        <v>73</v>
      </c>
    </row>
    <row r="114">
      <c r="A114" s="10">
        <v>46195.44638702546</v>
      </c>
      <c r="B114" s="11" t="s">
        <v>592</v>
      </c>
      <c r="C114" s="11" t="s">
        <v>147</v>
      </c>
      <c r="D114" s="11" t="s">
        <v>591</v>
      </c>
      <c r="E114" s="21" t="s">
        <v>1159</v>
      </c>
      <c r="F114" s="11">
        <v>224.5</v>
      </c>
      <c r="G114" s="11">
        <v>3.79</v>
      </c>
      <c r="H114" s="11" t="s">
        <v>49</v>
      </c>
      <c r="I114" s="11" t="s">
        <v>191</v>
      </c>
      <c r="J114" s="11" t="s">
        <v>52</v>
      </c>
      <c r="K114" s="11" t="s">
        <v>83</v>
      </c>
      <c r="L114" s="11" t="s">
        <v>54</v>
      </c>
      <c r="M114" s="11" t="s">
        <v>105</v>
      </c>
      <c r="N114" s="11" t="s">
        <v>82</v>
      </c>
      <c r="O114" s="11" t="s">
        <v>126</v>
      </c>
      <c r="P114" s="11" t="s">
        <v>235</v>
      </c>
      <c r="Q114" s="11" t="s">
        <v>207</v>
      </c>
      <c r="R114" s="11" t="s">
        <v>323</v>
      </c>
    </row>
    <row r="115">
      <c r="A115" s="10">
        <v>46195.97896957176</v>
      </c>
      <c r="B115" s="11" t="s">
        <v>302</v>
      </c>
      <c r="C115" s="11" t="s">
        <v>297</v>
      </c>
      <c r="D115" s="11" t="s">
        <v>301</v>
      </c>
      <c r="E115" s="21" t="s">
        <v>1160</v>
      </c>
      <c r="F115" s="11">
        <v>205.0</v>
      </c>
      <c r="G115" s="11">
        <v>3.56</v>
      </c>
      <c r="H115" s="11" t="s">
        <v>49</v>
      </c>
      <c r="I115" s="11" t="s">
        <v>191</v>
      </c>
      <c r="J115" s="11" t="s">
        <v>336</v>
      </c>
      <c r="K115" s="11" t="s">
        <v>171</v>
      </c>
      <c r="L115" s="11" t="s">
        <v>293</v>
      </c>
      <c r="M115" s="11" t="s">
        <v>291</v>
      </c>
      <c r="N115" s="11" t="s">
        <v>52</v>
      </c>
      <c r="O115" s="11" t="s">
        <v>51</v>
      </c>
      <c r="P115" s="11" t="s">
        <v>235</v>
      </c>
      <c r="Q115" s="11" t="s">
        <v>70</v>
      </c>
      <c r="R115" s="11" t="s">
        <v>66</v>
      </c>
    </row>
    <row r="116">
      <c r="A116" s="10">
        <v>46194.85485059027</v>
      </c>
      <c r="B116" s="11" t="s">
        <v>1076</v>
      </c>
      <c r="C116" s="11" t="s">
        <v>95</v>
      </c>
      <c r="D116" s="11" t="s">
        <v>1075</v>
      </c>
      <c r="E116" s="21" t="s">
        <v>1163</v>
      </c>
      <c r="F116" s="11">
        <v>182.0</v>
      </c>
      <c r="G116" s="11">
        <v>3.94</v>
      </c>
      <c r="H116" s="11" t="s">
        <v>49</v>
      </c>
      <c r="I116" s="11" t="s">
        <v>191</v>
      </c>
      <c r="J116" s="11" t="s">
        <v>171</v>
      </c>
      <c r="K116" s="11" t="s">
        <v>55</v>
      </c>
      <c r="L116" s="11" t="s">
        <v>169</v>
      </c>
      <c r="M116" s="11" t="s">
        <v>56</v>
      </c>
      <c r="N116" s="11" t="s">
        <v>53</v>
      </c>
      <c r="O116" s="11" t="s">
        <v>70</v>
      </c>
      <c r="P116" s="11" t="s">
        <v>235</v>
      </c>
    </row>
    <row r="117">
      <c r="A117" s="10">
        <v>46192.63555943287</v>
      </c>
      <c r="B117" s="11" t="s">
        <v>1165</v>
      </c>
      <c r="C117" s="11" t="s">
        <v>1166</v>
      </c>
      <c r="D117" s="11" t="s">
        <v>1167</v>
      </c>
      <c r="E117" s="21" t="s">
        <v>1168</v>
      </c>
      <c r="F117" s="11">
        <v>168.0</v>
      </c>
      <c r="G117" s="11">
        <v>3.707</v>
      </c>
      <c r="H117" s="11" t="s">
        <v>49</v>
      </c>
      <c r="I117" s="11" t="s">
        <v>191</v>
      </c>
      <c r="J117" s="11" t="s">
        <v>110</v>
      </c>
      <c r="K117" s="11" t="s">
        <v>59</v>
      </c>
      <c r="L117" s="11" t="s">
        <v>53</v>
      </c>
      <c r="M117" s="11" t="s">
        <v>70</v>
      </c>
      <c r="N117" s="11" t="s">
        <v>52</v>
      </c>
      <c r="O117" s="11" t="s">
        <v>56</v>
      </c>
      <c r="P117" s="11" t="s">
        <v>364</v>
      </c>
      <c r="Q117" s="11" t="s">
        <v>36</v>
      </c>
      <c r="R117" s="11" t="s">
        <v>166</v>
      </c>
    </row>
    <row r="118">
      <c r="A118" s="10">
        <v>46195.97505890046</v>
      </c>
      <c r="B118" s="11" t="s">
        <v>721</v>
      </c>
      <c r="C118" s="11" t="s">
        <v>150</v>
      </c>
      <c r="D118" s="11" t="s">
        <v>720</v>
      </c>
      <c r="E118" s="21" t="s">
        <v>1171</v>
      </c>
      <c r="F118" s="11">
        <v>144.0</v>
      </c>
      <c r="G118" s="11">
        <v>3.97</v>
      </c>
      <c r="H118" s="11" t="s">
        <v>49</v>
      </c>
      <c r="I118" s="11" t="s">
        <v>191</v>
      </c>
      <c r="J118" s="11" t="s">
        <v>336</v>
      </c>
      <c r="K118" s="11" t="s">
        <v>293</v>
      </c>
      <c r="L118" s="11" t="s">
        <v>52</v>
      </c>
      <c r="M118" s="11" t="s">
        <v>289</v>
      </c>
      <c r="N118" s="11" t="s">
        <v>291</v>
      </c>
      <c r="O118" s="11" t="s">
        <v>197</v>
      </c>
      <c r="P118" s="11" t="s">
        <v>166</v>
      </c>
      <c r="Q118" s="11" t="s">
        <v>126</v>
      </c>
      <c r="R118" s="11" t="s">
        <v>171</v>
      </c>
    </row>
    <row r="119">
      <c r="A119" s="10">
        <v>46191.74153613426</v>
      </c>
      <c r="B119" s="11" t="s">
        <v>1174</v>
      </c>
      <c r="C119" s="11" t="s">
        <v>230</v>
      </c>
      <c r="D119" s="11" t="s">
        <v>1175</v>
      </c>
      <c r="E119" s="21" t="s">
        <v>1176</v>
      </c>
      <c r="F119" s="11">
        <v>288.0</v>
      </c>
      <c r="G119" s="11">
        <v>3.66</v>
      </c>
      <c r="H119" s="11" t="s">
        <v>49</v>
      </c>
      <c r="I119" s="11" t="s">
        <v>66</v>
      </c>
      <c r="J119" s="11" t="s">
        <v>73</v>
      </c>
      <c r="K119" s="11" t="s">
        <v>109</v>
      </c>
      <c r="L119" s="11" t="s">
        <v>169</v>
      </c>
      <c r="M119" s="11" t="s">
        <v>110</v>
      </c>
      <c r="N119" s="11" t="s">
        <v>80</v>
      </c>
      <c r="O119" s="11" t="s">
        <v>56</v>
      </c>
      <c r="P119" s="11" t="s">
        <v>197</v>
      </c>
      <c r="Q119" s="11" t="s">
        <v>219</v>
      </c>
      <c r="R119" s="11" t="s">
        <v>235</v>
      </c>
    </row>
    <row r="120">
      <c r="A120" s="10">
        <v>46195.92365712963</v>
      </c>
      <c r="B120" s="11" t="s">
        <v>64</v>
      </c>
      <c r="C120" s="11" t="s">
        <v>57</v>
      </c>
      <c r="D120" s="11" t="s">
        <v>63</v>
      </c>
      <c r="E120" s="21" t="s">
        <v>1180</v>
      </c>
      <c r="F120" s="11">
        <v>225.0</v>
      </c>
      <c r="G120" s="11">
        <v>3.845</v>
      </c>
      <c r="H120" s="11" t="s">
        <v>49</v>
      </c>
      <c r="I120" s="11" t="s">
        <v>66</v>
      </c>
      <c r="J120" s="11" t="s">
        <v>171</v>
      </c>
      <c r="K120" s="11" t="s">
        <v>73</v>
      </c>
      <c r="L120" s="11" t="s">
        <v>169</v>
      </c>
      <c r="M120" s="11" t="s">
        <v>109</v>
      </c>
      <c r="N120" s="11" t="s">
        <v>56</v>
      </c>
      <c r="O120" s="11" t="s">
        <v>207</v>
      </c>
      <c r="P120" s="11" t="s">
        <v>105</v>
      </c>
      <c r="Q120" s="11" t="s">
        <v>51</v>
      </c>
      <c r="R120" s="11" t="s">
        <v>197</v>
      </c>
    </row>
    <row r="121">
      <c r="A121" s="10">
        <v>46195.98493289352</v>
      </c>
      <c r="B121" s="11" t="s">
        <v>1182</v>
      </c>
      <c r="C121" s="11" t="s">
        <v>231</v>
      </c>
      <c r="D121" s="11" t="s">
        <v>1183</v>
      </c>
      <c r="E121" s="21" t="s">
        <v>1184</v>
      </c>
      <c r="F121" s="11">
        <v>185.0</v>
      </c>
      <c r="G121" s="11">
        <v>3.53</v>
      </c>
      <c r="H121" s="11" t="s">
        <v>49</v>
      </c>
      <c r="I121" s="11" t="s">
        <v>66</v>
      </c>
      <c r="J121" s="11" t="s">
        <v>73</v>
      </c>
      <c r="K121" s="11" t="s">
        <v>110</v>
      </c>
      <c r="L121" s="11" t="s">
        <v>145</v>
      </c>
      <c r="M121" s="11" t="s">
        <v>171</v>
      </c>
      <c r="N121" s="11" t="s">
        <v>169</v>
      </c>
      <c r="O121" s="11" t="s">
        <v>364</v>
      </c>
      <c r="P121" s="11" t="s">
        <v>36</v>
      </c>
      <c r="Q121" s="11" t="s">
        <v>83</v>
      </c>
      <c r="R121" s="11" t="s">
        <v>109</v>
      </c>
    </row>
    <row r="122">
      <c r="A122" s="10">
        <v>46191.62042989583</v>
      </c>
      <c r="B122" s="11" t="s">
        <v>1147</v>
      </c>
      <c r="C122" s="11" t="s">
        <v>229</v>
      </c>
      <c r="D122" s="11" t="s">
        <v>1146</v>
      </c>
      <c r="E122" s="21" t="s">
        <v>1188</v>
      </c>
      <c r="F122" s="11">
        <v>184.0</v>
      </c>
      <c r="G122" s="11">
        <v>3.825</v>
      </c>
      <c r="H122" s="11" t="s">
        <v>49</v>
      </c>
      <c r="I122" s="11" t="s">
        <v>66</v>
      </c>
      <c r="J122" s="11" t="s">
        <v>171</v>
      </c>
      <c r="K122" s="11" t="s">
        <v>169</v>
      </c>
      <c r="L122" s="11" t="s">
        <v>80</v>
      </c>
      <c r="M122" s="11" t="s">
        <v>289</v>
      </c>
      <c r="N122" s="11" t="s">
        <v>109</v>
      </c>
      <c r="O122" s="11" t="s">
        <v>52</v>
      </c>
      <c r="P122" s="11" t="s">
        <v>51</v>
      </c>
      <c r="Q122" s="11" t="s">
        <v>82</v>
      </c>
      <c r="R122" s="11" t="s">
        <v>148</v>
      </c>
    </row>
    <row r="123">
      <c r="A123" s="10">
        <v>46195.8073831713</v>
      </c>
      <c r="B123" s="11" t="s">
        <v>1189</v>
      </c>
      <c r="C123" s="11" t="s">
        <v>1190</v>
      </c>
      <c r="D123" s="11" t="s">
        <v>1191</v>
      </c>
      <c r="E123" s="21" t="s">
        <v>1192</v>
      </c>
      <c r="F123" s="11">
        <v>147.0</v>
      </c>
      <c r="G123" s="11">
        <v>3.697</v>
      </c>
      <c r="H123" s="11" t="s">
        <v>49</v>
      </c>
      <c r="I123" s="11" t="s">
        <v>66</v>
      </c>
      <c r="J123" s="11" t="s">
        <v>132</v>
      </c>
      <c r="K123" s="11" t="s">
        <v>219</v>
      </c>
      <c r="L123" s="11" t="s">
        <v>36</v>
      </c>
      <c r="M123" s="11" t="s">
        <v>225</v>
      </c>
      <c r="N123" s="11" t="s">
        <v>289</v>
      </c>
      <c r="O123" s="11" t="s">
        <v>109</v>
      </c>
      <c r="P123" s="11" t="s">
        <v>54</v>
      </c>
      <c r="Q123" s="11" t="s">
        <v>85</v>
      </c>
      <c r="R123" s="11" t="s">
        <v>197</v>
      </c>
    </row>
    <row r="124">
      <c r="A124" s="10">
        <v>46195.87927754629</v>
      </c>
      <c r="B124" s="11" t="s">
        <v>1173</v>
      </c>
      <c r="C124" s="11" t="s">
        <v>237</v>
      </c>
      <c r="D124" s="11" t="s">
        <v>1172</v>
      </c>
      <c r="E124" s="21" t="s">
        <v>1195</v>
      </c>
      <c r="F124" s="11">
        <v>210.0</v>
      </c>
      <c r="G124" s="11">
        <v>3.614</v>
      </c>
      <c r="H124" s="11" t="s">
        <v>49</v>
      </c>
      <c r="I124" s="11" t="s">
        <v>197</v>
      </c>
      <c r="J124" s="11" t="s">
        <v>83</v>
      </c>
      <c r="K124" s="11" t="s">
        <v>273</v>
      </c>
      <c r="L124" s="11" t="s">
        <v>59</v>
      </c>
      <c r="M124" s="11" t="s">
        <v>145</v>
      </c>
      <c r="N124" s="11" t="s">
        <v>225</v>
      </c>
      <c r="O124" s="11" t="s">
        <v>323</v>
      </c>
      <c r="P124" s="11" t="s">
        <v>55</v>
      </c>
      <c r="Q124" s="11" t="s">
        <v>53</v>
      </c>
      <c r="R124" s="11" t="s">
        <v>80</v>
      </c>
    </row>
    <row r="125">
      <c r="A125" s="10">
        <v>46190.62561741898</v>
      </c>
      <c r="B125" s="11" t="s">
        <v>729</v>
      </c>
      <c r="C125" s="11" t="s">
        <v>238</v>
      </c>
      <c r="D125" s="11" t="s">
        <v>728</v>
      </c>
      <c r="E125" s="21" t="s">
        <v>1199</v>
      </c>
      <c r="F125" s="11">
        <v>185.0</v>
      </c>
      <c r="G125" s="11">
        <v>3.537</v>
      </c>
      <c r="H125" s="11" t="s">
        <v>49</v>
      </c>
      <c r="I125" s="11" t="s">
        <v>197</v>
      </c>
      <c r="J125" s="11" t="s">
        <v>73</v>
      </c>
      <c r="K125" s="11" t="s">
        <v>148</v>
      </c>
      <c r="L125" s="11" t="s">
        <v>59</v>
      </c>
      <c r="M125" s="11" t="s">
        <v>70</v>
      </c>
      <c r="N125" s="11" t="s">
        <v>166</v>
      </c>
      <c r="O125" s="11" t="s">
        <v>169</v>
      </c>
      <c r="P125" s="11" t="s">
        <v>191</v>
      </c>
      <c r="Q125" s="11" t="s">
        <v>56</v>
      </c>
      <c r="R125" s="11" t="s">
        <v>58</v>
      </c>
    </row>
    <row r="126">
      <c r="A126" s="10">
        <v>46181.884816817124</v>
      </c>
      <c r="B126" s="11" t="s">
        <v>1201</v>
      </c>
      <c r="C126" s="11" t="s">
        <v>239</v>
      </c>
      <c r="D126" s="11" t="s">
        <v>1202</v>
      </c>
      <c r="E126" s="21" t="s">
        <v>1203</v>
      </c>
      <c r="F126" s="11">
        <v>181.0</v>
      </c>
      <c r="G126" s="11">
        <v>2.57</v>
      </c>
      <c r="H126" s="11" t="s">
        <v>49</v>
      </c>
      <c r="I126" s="11" t="s">
        <v>197</v>
      </c>
      <c r="J126" s="11" t="s">
        <v>59</v>
      </c>
      <c r="K126" s="11" t="s">
        <v>66</v>
      </c>
      <c r="L126" s="11" t="s">
        <v>109</v>
      </c>
      <c r="M126" s="11" t="s">
        <v>148</v>
      </c>
      <c r="N126" s="11" t="s">
        <v>70</v>
      </c>
      <c r="O126" s="11" t="s">
        <v>53</v>
      </c>
      <c r="P126" s="11" t="s">
        <v>225</v>
      </c>
      <c r="Q126" s="11" t="s">
        <v>80</v>
      </c>
      <c r="R126" s="11" t="s">
        <v>110</v>
      </c>
    </row>
    <row r="127">
      <c r="A127" s="10">
        <v>46190.98625090277</v>
      </c>
      <c r="B127" s="11" t="s">
        <v>1204</v>
      </c>
      <c r="C127" s="11" t="s">
        <v>241</v>
      </c>
      <c r="D127" s="11" t="s">
        <v>1205</v>
      </c>
      <c r="E127" s="21" t="s">
        <v>1206</v>
      </c>
      <c r="F127" s="11">
        <v>164.0</v>
      </c>
      <c r="G127" s="11">
        <v>3.35</v>
      </c>
      <c r="H127" s="11" t="s">
        <v>49</v>
      </c>
      <c r="I127" s="11" t="s">
        <v>197</v>
      </c>
      <c r="J127" s="11" t="s">
        <v>207</v>
      </c>
      <c r="K127" s="11" t="s">
        <v>323</v>
      </c>
      <c r="L127" s="11" t="s">
        <v>273</v>
      </c>
      <c r="M127" s="11" t="s">
        <v>235</v>
      </c>
      <c r="N127" s="11" t="s">
        <v>132</v>
      </c>
      <c r="O127" s="11" t="s">
        <v>219</v>
      </c>
      <c r="P127" s="11" t="s">
        <v>52</v>
      </c>
      <c r="Q127" s="11" t="s">
        <v>83</v>
      </c>
      <c r="R127" s="11" t="s">
        <v>225</v>
      </c>
    </row>
    <row r="128">
      <c r="A128" s="10">
        <v>46190.18307908565</v>
      </c>
      <c r="B128" s="11" t="s">
        <v>1207</v>
      </c>
      <c r="C128" s="11" t="s">
        <v>205</v>
      </c>
      <c r="D128" s="11" t="s">
        <v>1208</v>
      </c>
      <c r="E128" s="21" t="s">
        <v>1209</v>
      </c>
      <c r="F128" s="11">
        <v>162.0</v>
      </c>
      <c r="G128" s="11">
        <v>3.475</v>
      </c>
      <c r="H128" s="11" t="s">
        <v>49</v>
      </c>
      <c r="I128" s="11" t="s">
        <v>197</v>
      </c>
      <c r="J128" s="11" t="s">
        <v>60</v>
      </c>
      <c r="K128" s="11" t="s">
        <v>166</v>
      </c>
      <c r="L128" s="11" t="s">
        <v>145</v>
      </c>
      <c r="M128" s="11" t="s">
        <v>56</v>
      </c>
      <c r="N128" s="11" t="s">
        <v>73</v>
      </c>
      <c r="O128" s="11" t="s">
        <v>105</v>
      </c>
      <c r="P128" s="11" t="s">
        <v>169</v>
      </c>
      <c r="Q128" s="11" t="s">
        <v>36</v>
      </c>
      <c r="R128" s="11" t="s">
        <v>273</v>
      </c>
    </row>
    <row r="129">
      <c r="A129" s="10">
        <v>46194.794061064815</v>
      </c>
      <c r="B129" s="11" t="s">
        <v>1210</v>
      </c>
      <c r="C129" s="11" t="s">
        <v>242</v>
      </c>
      <c r="D129" s="11" t="s">
        <v>1211</v>
      </c>
      <c r="E129" s="21" t="s">
        <v>1212</v>
      </c>
      <c r="F129" s="11">
        <v>142.0</v>
      </c>
      <c r="G129" s="11">
        <v>3.78</v>
      </c>
      <c r="H129" s="11" t="s">
        <v>49</v>
      </c>
      <c r="I129" s="11" t="s">
        <v>197</v>
      </c>
      <c r="J129" s="11" t="s">
        <v>53</v>
      </c>
      <c r="K129" s="11" t="s">
        <v>171</v>
      </c>
      <c r="L129" s="11" t="s">
        <v>291</v>
      </c>
      <c r="M129" s="11" t="s">
        <v>191</v>
      </c>
      <c r="N129" s="11" t="s">
        <v>52</v>
      </c>
      <c r="O129" s="11" t="s">
        <v>58</v>
      </c>
      <c r="P129" s="11" t="s">
        <v>70</v>
      </c>
      <c r="Q129" s="11" t="s">
        <v>85</v>
      </c>
      <c r="R129" s="11" t="s">
        <v>289</v>
      </c>
    </row>
    <row r="130">
      <c r="A130" s="10">
        <v>46193.90683543982</v>
      </c>
      <c r="B130" s="11" t="s">
        <v>1213</v>
      </c>
      <c r="C130" s="11" t="s">
        <v>243</v>
      </c>
      <c r="D130" s="11" t="s">
        <v>1214</v>
      </c>
      <c r="E130" s="21" t="s">
        <v>1215</v>
      </c>
      <c r="F130" s="11">
        <v>132.0</v>
      </c>
      <c r="G130" s="11">
        <v>3.94</v>
      </c>
      <c r="H130" s="11" t="s">
        <v>49</v>
      </c>
      <c r="I130" s="11" t="s">
        <v>197</v>
      </c>
      <c r="J130" s="11" t="s">
        <v>323</v>
      </c>
      <c r="K130" s="11" t="s">
        <v>273</v>
      </c>
      <c r="L130" s="11" t="s">
        <v>83</v>
      </c>
      <c r="M130" s="11" t="s">
        <v>207</v>
      </c>
      <c r="N130" s="11" t="s">
        <v>235</v>
      </c>
      <c r="O130" s="11" t="s">
        <v>132</v>
      </c>
    </row>
    <row r="131">
      <c r="A131" s="10">
        <v>46195.05420453704</v>
      </c>
      <c r="B131" s="11" t="s">
        <v>1218</v>
      </c>
      <c r="C131" s="11" t="s">
        <v>100</v>
      </c>
      <c r="D131" s="11" t="s">
        <v>1219</v>
      </c>
      <c r="E131" s="21" t="s">
        <v>1220</v>
      </c>
      <c r="F131" s="11">
        <v>197.0</v>
      </c>
      <c r="G131" s="11">
        <v>3.99</v>
      </c>
      <c r="H131" s="11" t="s">
        <v>49</v>
      </c>
      <c r="I131" s="11" t="s">
        <v>207</v>
      </c>
      <c r="J131" s="11" t="s">
        <v>53</v>
      </c>
      <c r="K131" s="11" t="s">
        <v>52</v>
      </c>
      <c r="L131" s="11" t="s">
        <v>55</v>
      </c>
      <c r="M131" s="11" t="s">
        <v>273</v>
      </c>
      <c r="N131" s="11" t="s">
        <v>82</v>
      </c>
      <c r="O131" s="11" t="s">
        <v>169</v>
      </c>
      <c r="P131" s="11" t="s">
        <v>73</v>
      </c>
      <c r="Q131" s="11" t="s">
        <v>36</v>
      </c>
      <c r="R131" s="11" t="s">
        <v>225</v>
      </c>
    </row>
    <row r="132">
      <c r="A132" s="10">
        <v>46195.090572835645</v>
      </c>
      <c r="B132" s="11" t="s">
        <v>1020</v>
      </c>
      <c r="C132" s="11" t="s">
        <v>246</v>
      </c>
      <c r="D132" s="11" t="s">
        <v>1018</v>
      </c>
      <c r="E132" s="21" t="s">
        <v>1221</v>
      </c>
      <c r="F132" s="11">
        <v>188.0</v>
      </c>
      <c r="G132" s="11">
        <v>3.99</v>
      </c>
      <c r="H132" s="11" t="s">
        <v>49</v>
      </c>
      <c r="I132" s="11" t="s">
        <v>207</v>
      </c>
      <c r="J132" s="11" t="s">
        <v>336</v>
      </c>
      <c r="K132" s="11" t="s">
        <v>105</v>
      </c>
      <c r="L132" s="11" t="s">
        <v>225</v>
      </c>
      <c r="M132" s="11" t="s">
        <v>323</v>
      </c>
      <c r="N132" s="11" t="s">
        <v>83</v>
      </c>
      <c r="O132" s="11" t="s">
        <v>85</v>
      </c>
      <c r="P132" s="11" t="s">
        <v>55</v>
      </c>
      <c r="Q132" s="11" t="s">
        <v>109</v>
      </c>
      <c r="R132" s="11" t="s">
        <v>148</v>
      </c>
    </row>
    <row r="133">
      <c r="A133" s="10">
        <v>46195.82951431713</v>
      </c>
      <c r="B133" s="11" t="s">
        <v>1224</v>
      </c>
      <c r="C133" s="11" t="s">
        <v>274</v>
      </c>
      <c r="D133" s="11" t="s">
        <v>1225</v>
      </c>
      <c r="E133" s="21" t="s">
        <v>1226</v>
      </c>
      <c r="F133" s="11">
        <v>282.0</v>
      </c>
      <c r="G133" s="11">
        <v>3.516</v>
      </c>
      <c r="H133" s="11" t="s">
        <v>49</v>
      </c>
      <c r="I133" s="11" t="s">
        <v>83</v>
      </c>
      <c r="J133" s="11" t="s">
        <v>293</v>
      </c>
      <c r="K133" s="11" t="s">
        <v>53</v>
      </c>
      <c r="L133" s="11" t="s">
        <v>34</v>
      </c>
      <c r="M133" s="11" t="s">
        <v>59</v>
      </c>
      <c r="N133" s="11" t="s">
        <v>219</v>
      </c>
      <c r="O133" s="11" t="s">
        <v>82</v>
      </c>
      <c r="P133" s="11" t="s">
        <v>54</v>
      </c>
      <c r="Q133" s="11" t="s">
        <v>60</v>
      </c>
      <c r="R133" s="11" t="s">
        <v>36</v>
      </c>
    </row>
    <row r="134">
      <c r="A134" s="10">
        <v>46195.69574321759</v>
      </c>
      <c r="B134" s="11" t="s">
        <v>1228</v>
      </c>
      <c r="C134" s="11" t="s">
        <v>268</v>
      </c>
      <c r="D134" s="11" t="s">
        <v>1229</v>
      </c>
      <c r="E134" s="21" t="s">
        <v>1230</v>
      </c>
      <c r="F134" s="11">
        <v>219.0</v>
      </c>
      <c r="G134" s="11">
        <v>3.74</v>
      </c>
      <c r="H134" s="11" t="s">
        <v>49</v>
      </c>
      <c r="I134" s="11" t="s">
        <v>83</v>
      </c>
      <c r="J134" s="11" t="s">
        <v>53</v>
      </c>
      <c r="K134" s="11" t="s">
        <v>336</v>
      </c>
      <c r="L134" s="11" t="s">
        <v>235</v>
      </c>
      <c r="M134" s="11" t="s">
        <v>54</v>
      </c>
      <c r="N134" s="11" t="s">
        <v>59</v>
      </c>
      <c r="O134" s="11" t="s">
        <v>273</v>
      </c>
      <c r="P134" s="11" t="s">
        <v>85</v>
      </c>
      <c r="Q134" s="11" t="s">
        <v>36</v>
      </c>
      <c r="R134" s="11" t="s">
        <v>80</v>
      </c>
    </row>
    <row r="135">
      <c r="A135" s="10">
        <v>46178.49384556713</v>
      </c>
      <c r="B135" s="11" t="s">
        <v>811</v>
      </c>
      <c r="C135" s="11" t="s">
        <v>250</v>
      </c>
      <c r="D135" s="11" t="s">
        <v>810</v>
      </c>
      <c r="E135" s="21" t="s">
        <v>1234</v>
      </c>
      <c r="F135" s="11">
        <v>218.0</v>
      </c>
      <c r="G135" s="11">
        <v>3.7</v>
      </c>
      <c r="H135" s="11" t="s">
        <v>49</v>
      </c>
      <c r="I135" s="11" t="s">
        <v>83</v>
      </c>
      <c r="J135" s="11" t="s">
        <v>197</v>
      </c>
      <c r="K135" s="11" t="s">
        <v>207</v>
      </c>
      <c r="L135" s="11" t="s">
        <v>54</v>
      </c>
      <c r="M135" s="11" t="s">
        <v>273</v>
      </c>
      <c r="N135" s="11" t="s">
        <v>56</v>
      </c>
      <c r="O135" s="11" t="s">
        <v>169</v>
      </c>
    </row>
    <row r="136">
      <c r="A136" s="10">
        <v>46191.506291516205</v>
      </c>
      <c r="B136" s="11" t="s">
        <v>1237</v>
      </c>
      <c r="C136" s="11" t="s">
        <v>1238</v>
      </c>
      <c r="D136" s="11" t="s">
        <v>1239</v>
      </c>
      <c r="E136" s="21" t="s">
        <v>1240</v>
      </c>
      <c r="F136" s="11">
        <v>217.0</v>
      </c>
      <c r="G136" s="11">
        <v>3.08</v>
      </c>
      <c r="H136" s="11" t="s">
        <v>49</v>
      </c>
      <c r="I136" s="11" t="s">
        <v>83</v>
      </c>
      <c r="J136" s="11" t="s">
        <v>82</v>
      </c>
      <c r="K136" s="11" t="s">
        <v>34</v>
      </c>
      <c r="L136" s="11" t="s">
        <v>323</v>
      </c>
      <c r="M136" s="11" t="s">
        <v>132</v>
      </c>
      <c r="N136" s="11" t="s">
        <v>36</v>
      </c>
      <c r="O136" s="11" t="s">
        <v>55</v>
      </c>
      <c r="P136" s="11" t="s">
        <v>56</v>
      </c>
      <c r="Q136" s="11" t="s">
        <v>58</v>
      </c>
      <c r="R136" s="11" t="s">
        <v>54</v>
      </c>
    </row>
    <row r="137">
      <c r="A137" s="10">
        <v>46191.61324041667</v>
      </c>
      <c r="B137" s="11" t="s">
        <v>973</v>
      </c>
      <c r="C137" s="11" t="s">
        <v>371</v>
      </c>
      <c r="D137" s="11" t="s">
        <v>972</v>
      </c>
      <c r="E137" s="21" t="s">
        <v>1242</v>
      </c>
      <c r="F137" s="11">
        <v>208.0</v>
      </c>
      <c r="G137" s="11">
        <v>3.2</v>
      </c>
      <c r="H137" s="11" t="s">
        <v>49</v>
      </c>
      <c r="I137" s="11" t="s">
        <v>83</v>
      </c>
      <c r="J137" s="11" t="s">
        <v>336</v>
      </c>
      <c r="K137" s="11" t="s">
        <v>293</v>
      </c>
      <c r="L137" s="11" t="s">
        <v>291</v>
      </c>
      <c r="M137" s="11" t="s">
        <v>51</v>
      </c>
      <c r="N137" s="11" t="s">
        <v>52</v>
      </c>
      <c r="O137" s="11" t="s">
        <v>273</v>
      </c>
      <c r="P137" s="11" t="s">
        <v>289</v>
      </c>
      <c r="Q137" s="11" t="s">
        <v>341</v>
      </c>
      <c r="R137" s="11" t="s">
        <v>346</v>
      </c>
    </row>
    <row r="138">
      <c r="A138" s="10">
        <v>46178.489538842594</v>
      </c>
      <c r="B138" s="11" t="s">
        <v>1245</v>
      </c>
      <c r="C138" s="11" t="s">
        <v>249</v>
      </c>
      <c r="D138" s="11" t="s">
        <v>1246</v>
      </c>
      <c r="E138" s="21" t="s">
        <v>1247</v>
      </c>
      <c r="F138" s="11">
        <v>207.75</v>
      </c>
      <c r="G138" s="11">
        <v>3.8</v>
      </c>
      <c r="H138" s="11" t="s">
        <v>49</v>
      </c>
      <c r="I138" s="11" t="s">
        <v>83</v>
      </c>
      <c r="J138" s="11" t="s">
        <v>197</v>
      </c>
      <c r="K138" s="11" t="s">
        <v>207</v>
      </c>
      <c r="L138" s="11" t="s">
        <v>54</v>
      </c>
      <c r="M138" s="11" t="s">
        <v>273</v>
      </c>
      <c r="N138" s="11" t="s">
        <v>56</v>
      </c>
      <c r="O138" s="11" t="s">
        <v>169</v>
      </c>
    </row>
    <row r="139">
      <c r="A139" s="10">
        <v>46192.5564256713</v>
      </c>
      <c r="B139" s="11" t="s">
        <v>1250</v>
      </c>
      <c r="C139" s="11" t="s">
        <v>101</v>
      </c>
      <c r="D139" s="11" t="s">
        <v>1251</v>
      </c>
      <c r="E139" s="21" t="s">
        <v>1252</v>
      </c>
      <c r="F139" s="11">
        <v>205.0</v>
      </c>
      <c r="G139" s="11">
        <v>3.952</v>
      </c>
      <c r="H139" s="11" t="s">
        <v>49</v>
      </c>
      <c r="I139" s="11" t="s">
        <v>83</v>
      </c>
      <c r="J139" s="11" t="s">
        <v>53</v>
      </c>
      <c r="K139" s="11" t="s">
        <v>59</v>
      </c>
      <c r="L139" s="11" t="s">
        <v>55</v>
      </c>
      <c r="M139" s="11" t="s">
        <v>70</v>
      </c>
      <c r="N139" s="11" t="s">
        <v>148</v>
      </c>
      <c r="O139" s="11" t="s">
        <v>132</v>
      </c>
      <c r="P139" s="11" t="s">
        <v>105</v>
      </c>
      <c r="Q139" s="11" t="s">
        <v>346</v>
      </c>
      <c r="R139" s="11" t="s">
        <v>109</v>
      </c>
    </row>
    <row r="140">
      <c r="A140" s="10">
        <v>46195.99817</v>
      </c>
      <c r="B140" s="11" t="s">
        <v>1253</v>
      </c>
      <c r="C140" s="11" t="s">
        <v>1254</v>
      </c>
      <c r="D140" s="11" t="s">
        <v>1255</v>
      </c>
      <c r="E140" s="21" t="s">
        <v>1256</v>
      </c>
      <c r="F140" s="11">
        <v>201.0</v>
      </c>
      <c r="G140" s="11">
        <v>3.0</v>
      </c>
      <c r="H140" s="11" t="s">
        <v>49</v>
      </c>
      <c r="I140" s="11" t="s">
        <v>83</v>
      </c>
      <c r="J140" s="11" t="s">
        <v>59</v>
      </c>
      <c r="K140" s="11" t="s">
        <v>36</v>
      </c>
      <c r="L140" s="11" t="s">
        <v>82</v>
      </c>
      <c r="M140" s="11" t="s">
        <v>197</v>
      </c>
      <c r="N140" s="11" t="s">
        <v>171</v>
      </c>
      <c r="O140" s="11" t="s">
        <v>56</v>
      </c>
      <c r="P140" s="11" t="s">
        <v>73</v>
      </c>
      <c r="Q140" s="11" t="s">
        <v>55</v>
      </c>
      <c r="R140" s="11" t="s">
        <v>145</v>
      </c>
    </row>
    <row r="141">
      <c r="A141" s="10">
        <v>46195.55008778935</v>
      </c>
      <c r="B141" s="11" t="s">
        <v>1257</v>
      </c>
      <c r="C141" s="11" t="s">
        <v>1258</v>
      </c>
      <c r="D141" s="11" t="s">
        <v>1259</v>
      </c>
      <c r="E141" s="21" t="s">
        <v>1260</v>
      </c>
      <c r="F141" s="11">
        <v>201.0</v>
      </c>
      <c r="G141" s="11">
        <v>2.827</v>
      </c>
      <c r="H141" s="11" t="s">
        <v>49</v>
      </c>
      <c r="I141" s="11" t="s">
        <v>83</v>
      </c>
      <c r="J141" s="11" t="s">
        <v>323</v>
      </c>
      <c r="K141" s="11" t="s">
        <v>52</v>
      </c>
      <c r="L141" s="11" t="s">
        <v>82</v>
      </c>
      <c r="M141" s="11" t="s">
        <v>273</v>
      </c>
    </row>
    <row r="142">
      <c r="A142" s="10">
        <v>46195.768560439814</v>
      </c>
      <c r="B142" s="11" t="s">
        <v>738</v>
      </c>
      <c r="C142" s="11" t="s">
        <v>265</v>
      </c>
      <c r="D142" s="11" t="s">
        <v>737</v>
      </c>
      <c r="E142" s="21" t="s">
        <v>1262</v>
      </c>
      <c r="F142" s="11">
        <v>200.0</v>
      </c>
      <c r="G142" s="11">
        <v>3.973</v>
      </c>
      <c r="H142" s="11" t="s">
        <v>49</v>
      </c>
      <c r="I142" s="11" t="s">
        <v>83</v>
      </c>
      <c r="J142" s="11" t="s">
        <v>235</v>
      </c>
      <c r="K142" s="11" t="s">
        <v>53</v>
      </c>
      <c r="L142" s="11" t="s">
        <v>291</v>
      </c>
      <c r="M142" s="11" t="s">
        <v>323</v>
      </c>
      <c r="N142" s="11" t="s">
        <v>336</v>
      </c>
      <c r="O142" s="11" t="s">
        <v>54</v>
      </c>
      <c r="P142" s="11" t="s">
        <v>36</v>
      </c>
      <c r="Q142" s="11" t="s">
        <v>52</v>
      </c>
      <c r="R142" s="11" t="s">
        <v>207</v>
      </c>
    </row>
    <row r="143">
      <c r="A143" s="10">
        <v>46192.85484396991</v>
      </c>
      <c r="B143" s="11" t="s">
        <v>1265</v>
      </c>
      <c r="C143" s="11" t="s">
        <v>263</v>
      </c>
      <c r="D143" s="11" t="s">
        <v>1266</v>
      </c>
      <c r="E143" s="21" t="s">
        <v>1267</v>
      </c>
      <c r="F143" s="11">
        <v>195.0</v>
      </c>
      <c r="G143" s="11">
        <v>3.972</v>
      </c>
      <c r="H143" s="11" t="s">
        <v>49</v>
      </c>
      <c r="I143" s="11" t="s">
        <v>83</v>
      </c>
      <c r="J143" s="11" t="s">
        <v>54</v>
      </c>
      <c r="K143" s="11" t="s">
        <v>289</v>
      </c>
      <c r="L143" s="11" t="s">
        <v>346</v>
      </c>
      <c r="M143" s="11" t="s">
        <v>82</v>
      </c>
      <c r="N143" s="11" t="s">
        <v>323</v>
      </c>
      <c r="O143" s="11" t="s">
        <v>73</v>
      </c>
      <c r="P143" s="11" t="s">
        <v>80</v>
      </c>
      <c r="Q143" s="11" t="s">
        <v>55</v>
      </c>
      <c r="R143" s="11" t="s">
        <v>105</v>
      </c>
    </row>
    <row r="144">
      <c r="A144" s="10">
        <v>46192.51423799769</v>
      </c>
      <c r="B144" s="11" t="s">
        <v>1270</v>
      </c>
      <c r="C144" s="11" t="s">
        <v>1271</v>
      </c>
      <c r="D144" s="11" t="s">
        <v>1272</v>
      </c>
      <c r="E144" s="21" t="s">
        <v>1273</v>
      </c>
      <c r="F144" s="11">
        <v>194.8</v>
      </c>
      <c r="G144" s="11">
        <v>3.25</v>
      </c>
      <c r="H144" s="11" t="s">
        <v>49</v>
      </c>
      <c r="I144" s="11" t="s">
        <v>83</v>
      </c>
      <c r="J144" s="11" t="s">
        <v>110</v>
      </c>
      <c r="K144" s="11" t="s">
        <v>52</v>
      </c>
      <c r="L144" s="11" t="s">
        <v>51</v>
      </c>
      <c r="M144" s="11" t="s">
        <v>59</v>
      </c>
      <c r="N144" s="11" t="s">
        <v>53</v>
      </c>
      <c r="O144" s="11" t="s">
        <v>109</v>
      </c>
      <c r="P144" s="11" t="s">
        <v>148</v>
      </c>
      <c r="Q144" s="11" t="s">
        <v>191</v>
      </c>
      <c r="R144" s="11" t="s">
        <v>126</v>
      </c>
    </row>
    <row r="145">
      <c r="A145" s="10">
        <v>46195.966487233796</v>
      </c>
      <c r="B145" s="11" t="s">
        <v>1277</v>
      </c>
      <c r="C145" s="11" t="s">
        <v>258</v>
      </c>
      <c r="D145" s="11" t="s">
        <v>1278</v>
      </c>
      <c r="E145" s="21" t="s">
        <v>1281</v>
      </c>
      <c r="F145" s="11">
        <v>192.0</v>
      </c>
      <c r="G145" s="11">
        <v>4.0</v>
      </c>
      <c r="H145" s="11" t="s">
        <v>49</v>
      </c>
      <c r="I145" s="11" t="s">
        <v>83</v>
      </c>
      <c r="J145" s="11" t="s">
        <v>148</v>
      </c>
      <c r="K145" s="11" t="s">
        <v>105</v>
      </c>
      <c r="L145" s="11" t="s">
        <v>70</v>
      </c>
      <c r="M145" s="11" t="s">
        <v>289</v>
      </c>
      <c r="N145" s="11" t="s">
        <v>36</v>
      </c>
      <c r="O145" s="11" t="s">
        <v>34</v>
      </c>
      <c r="P145" s="11" t="s">
        <v>225</v>
      </c>
      <c r="Q145" s="11" t="s">
        <v>82</v>
      </c>
      <c r="R145" s="11" t="s">
        <v>53</v>
      </c>
    </row>
    <row r="146">
      <c r="A146" s="10">
        <v>46195.59423336806</v>
      </c>
      <c r="B146" s="11" t="s">
        <v>1282</v>
      </c>
      <c r="C146" s="11" t="s">
        <v>1283</v>
      </c>
      <c r="D146" s="11" t="s">
        <v>1284</v>
      </c>
      <c r="E146" s="21" t="s">
        <v>1285</v>
      </c>
      <c r="F146" s="11">
        <v>188.0</v>
      </c>
      <c r="G146" s="11">
        <v>3.1</v>
      </c>
      <c r="H146" s="11" t="s">
        <v>49</v>
      </c>
      <c r="I146" s="11" t="s">
        <v>83</v>
      </c>
      <c r="J146" s="11" t="s">
        <v>60</v>
      </c>
      <c r="K146" s="11" t="s">
        <v>36</v>
      </c>
      <c r="L146" s="11" t="s">
        <v>289</v>
      </c>
      <c r="M146" s="11" t="s">
        <v>82</v>
      </c>
      <c r="N146" s="11" t="s">
        <v>85</v>
      </c>
    </row>
    <row r="147">
      <c r="A147" s="10">
        <v>46192.92704484954</v>
      </c>
      <c r="B147" s="11" t="s">
        <v>322</v>
      </c>
      <c r="C147" s="11" t="s">
        <v>315</v>
      </c>
      <c r="D147" s="11" t="s">
        <v>321</v>
      </c>
      <c r="F147" s="11">
        <v>187.0</v>
      </c>
      <c r="G147" s="11">
        <v>2.6</v>
      </c>
      <c r="H147" s="11" t="s">
        <v>49</v>
      </c>
      <c r="I147" s="11" t="s">
        <v>83</v>
      </c>
      <c r="J147" s="11" t="s">
        <v>273</v>
      </c>
      <c r="K147" s="11" t="s">
        <v>207</v>
      </c>
      <c r="L147" s="11" t="s">
        <v>323</v>
      </c>
      <c r="M147" s="11" t="s">
        <v>219</v>
      </c>
    </row>
    <row r="148">
      <c r="A148" s="10">
        <v>46190.992511261575</v>
      </c>
      <c r="B148" s="11" t="s">
        <v>1286</v>
      </c>
      <c r="C148" s="11" t="s">
        <v>264</v>
      </c>
      <c r="D148" s="11" t="s">
        <v>1287</v>
      </c>
      <c r="E148" s="21" t="s">
        <v>1288</v>
      </c>
      <c r="F148" s="11">
        <v>185.0</v>
      </c>
      <c r="G148" s="11">
        <v>3.51</v>
      </c>
      <c r="H148" s="11" t="s">
        <v>49</v>
      </c>
      <c r="I148" s="11" t="s">
        <v>83</v>
      </c>
      <c r="J148" s="11" t="s">
        <v>82</v>
      </c>
      <c r="K148" s="11" t="s">
        <v>85</v>
      </c>
      <c r="L148" s="11" t="s">
        <v>197</v>
      </c>
      <c r="M148" s="11" t="s">
        <v>59</v>
      </c>
      <c r="N148" s="11" t="s">
        <v>219</v>
      </c>
      <c r="O148" s="11" t="s">
        <v>55</v>
      </c>
      <c r="P148" s="11" t="s">
        <v>52</v>
      </c>
      <c r="Q148" s="11" t="s">
        <v>110</v>
      </c>
      <c r="R148" s="11" t="s">
        <v>36</v>
      </c>
    </row>
    <row r="149">
      <c r="A149" s="10">
        <v>46194.839957199074</v>
      </c>
      <c r="B149" s="11" t="s">
        <v>651</v>
      </c>
      <c r="C149" s="11" t="s">
        <v>649</v>
      </c>
      <c r="D149" s="11" t="s">
        <v>650</v>
      </c>
      <c r="E149" s="21" t="s">
        <v>1289</v>
      </c>
      <c r="F149" s="11">
        <v>181.0</v>
      </c>
      <c r="G149" s="11">
        <v>3.355</v>
      </c>
      <c r="H149" s="11" t="s">
        <v>49</v>
      </c>
      <c r="I149" s="11" t="s">
        <v>83</v>
      </c>
      <c r="J149" s="11" t="s">
        <v>60</v>
      </c>
      <c r="K149" s="11" t="s">
        <v>54</v>
      </c>
      <c r="L149" s="11" t="s">
        <v>59</v>
      </c>
      <c r="M149" s="11" t="s">
        <v>36</v>
      </c>
      <c r="N149" s="11" t="s">
        <v>82</v>
      </c>
    </row>
    <row r="150">
      <c r="A150" s="10">
        <v>46194.84017332176</v>
      </c>
      <c r="B150" s="11" t="s">
        <v>1223</v>
      </c>
      <c r="C150" s="11" t="s">
        <v>259</v>
      </c>
      <c r="D150" s="11" t="s">
        <v>1222</v>
      </c>
      <c r="E150" s="21" t="s">
        <v>1292</v>
      </c>
      <c r="F150" s="11">
        <v>180.0</v>
      </c>
      <c r="G150" s="11">
        <v>3.962</v>
      </c>
      <c r="H150" s="11" t="s">
        <v>49</v>
      </c>
      <c r="I150" s="11" t="s">
        <v>83</v>
      </c>
      <c r="J150" s="11" t="s">
        <v>60</v>
      </c>
      <c r="K150" s="11" t="s">
        <v>323</v>
      </c>
      <c r="L150" s="11" t="s">
        <v>59</v>
      </c>
      <c r="M150" s="11" t="s">
        <v>56</v>
      </c>
      <c r="N150" s="11" t="s">
        <v>55</v>
      </c>
      <c r="O150" s="11" t="s">
        <v>219</v>
      </c>
      <c r="P150" s="11" t="s">
        <v>36</v>
      </c>
      <c r="Q150" s="11" t="s">
        <v>364</v>
      </c>
      <c r="R150" s="11" t="s">
        <v>110</v>
      </c>
    </row>
    <row r="151">
      <c r="A151" s="10">
        <v>46195.99483650463</v>
      </c>
      <c r="B151" s="11" t="s">
        <v>741</v>
      </c>
      <c r="C151" s="11" t="s">
        <v>261</v>
      </c>
      <c r="D151" s="11" t="s">
        <v>740</v>
      </c>
      <c r="E151" s="21" t="s">
        <v>1293</v>
      </c>
      <c r="F151" s="11">
        <v>177.0</v>
      </c>
      <c r="G151" s="11">
        <v>4.0</v>
      </c>
      <c r="H151" s="11" t="s">
        <v>49</v>
      </c>
      <c r="I151" s="11" t="s">
        <v>83</v>
      </c>
      <c r="J151" s="11" t="s">
        <v>235</v>
      </c>
      <c r="K151" s="11" t="s">
        <v>53</v>
      </c>
      <c r="L151" s="11" t="s">
        <v>59</v>
      </c>
      <c r="M151" s="11" t="s">
        <v>36</v>
      </c>
      <c r="N151" s="11" t="s">
        <v>207</v>
      </c>
      <c r="O151" s="11" t="s">
        <v>273</v>
      </c>
      <c r="P151" s="11" t="s">
        <v>148</v>
      </c>
      <c r="Q151" s="11" t="s">
        <v>132</v>
      </c>
      <c r="R151" s="11" t="s">
        <v>34</v>
      </c>
    </row>
    <row r="152">
      <c r="A152" s="10">
        <v>46194.97201162037</v>
      </c>
      <c r="B152" s="11" t="s">
        <v>1295</v>
      </c>
      <c r="C152" s="11" t="s">
        <v>1296</v>
      </c>
      <c r="D152" s="11" t="s">
        <v>1297</v>
      </c>
      <c r="E152" s="21" t="s">
        <v>1298</v>
      </c>
      <c r="F152" s="11">
        <v>177.0</v>
      </c>
      <c r="G152" s="11">
        <v>2.92</v>
      </c>
      <c r="H152" s="11" t="s">
        <v>49</v>
      </c>
      <c r="I152" s="11" t="s">
        <v>83</v>
      </c>
      <c r="J152" s="11" t="s">
        <v>235</v>
      </c>
      <c r="K152" s="11" t="s">
        <v>36</v>
      </c>
      <c r="L152" s="11" t="s">
        <v>54</v>
      </c>
      <c r="M152" s="11" t="s">
        <v>148</v>
      </c>
      <c r="N152" s="11" t="s">
        <v>53</v>
      </c>
      <c r="O152" s="11" t="s">
        <v>55</v>
      </c>
      <c r="P152" s="11" t="s">
        <v>52</v>
      </c>
      <c r="Q152" s="11" t="s">
        <v>171</v>
      </c>
      <c r="R152" s="11" t="s">
        <v>341</v>
      </c>
    </row>
    <row r="153">
      <c r="A153" s="10">
        <v>46192.643594849535</v>
      </c>
      <c r="B153" s="11" t="s">
        <v>1236</v>
      </c>
      <c r="C153" s="11" t="s">
        <v>275</v>
      </c>
      <c r="D153" s="11" t="s">
        <v>1235</v>
      </c>
      <c r="E153" s="21" t="s">
        <v>1301</v>
      </c>
      <c r="F153" s="11">
        <v>172.5</v>
      </c>
      <c r="G153" s="11">
        <v>3.487</v>
      </c>
      <c r="H153" s="11" t="s">
        <v>49</v>
      </c>
      <c r="I153" s="11" t="s">
        <v>83</v>
      </c>
      <c r="J153" s="11" t="s">
        <v>54</v>
      </c>
      <c r="K153" s="11" t="s">
        <v>36</v>
      </c>
      <c r="L153" s="11" t="s">
        <v>55</v>
      </c>
      <c r="M153" s="11" t="s">
        <v>145</v>
      </c>
      <c r="N153" s="11" t="s">
        <v>59</v>
      </c>
      <c r="O153" s="11" t="s">
        <v>56</v>
      </c>
      <c r="P153" s="11" t="s">
        <v>166</v>
      </c>
      <c r="Q153" s="11" t="s">
        <v>364</v>
      </c>
      <c r="R153" s="11" t="s">
        <v>110</v>
      </c>
    </row>
    <row r="154">
      <c r="A154" s="10">
        <v>46195.66850458333</v>
      </c>
      <c r="B154" s="11" t="s">
        <v>1304</v>
      </c>
      <c r="C154" s="11" t="s">
        <v>1302</v>
      </c>
      <c r="D154" s="11" t="s">
        <v>1303</v>
      </c>
      <c r="E154" s="21" t="s">
        <v>1305</v>
      </c>
      <c r="F154" s="11">
        <v>172.0</v>
      </c>
      <c r="G154" s="11">
        <v>3.401</v>
      </c>
      <c r="H154" s="11" t="s">
        <v>49</v>
      </c>
      <c r="I154" s="11" t="s">
        <v>83</v>
      </c>
      <c r="J154" s="11" t="s">
        <v>73</v>
      </c>
      <c r="K154" s="11" t="s">
        <v>207</v>
      </c>
      <c r="L154" s="11" t="s">
        <v>169</v>
      </c>
      <c r="M154" s="11" t="s">
        <v>80</v>
      </c>
      <c r="N154" s="11" t="s">
        <v>109</v>
      </c>
      <c r="O154" s="11" t="s">
        <v>293</v>
      </c>
      <c r="P154" s="11" t="s">
        <v>60</v>
      </c>
      <c r="Q154" s="11" t="s">
        <v>336</v>
      </c>
      <c r="R154" s="11" t="s">
        <v>53</v>
      </c>
    </row>
    <row r="155">
      <c r="A155" s="10">
        <v>46192.505786469905</v>
      </c>
      <c r="B155" s="11" t="s">
        <v>696</v>
      </c>
      <c r="C155" s="11" t="s">
        <v>262</v>
      </c>
      <c r="D155" s="11" t="s">
        <v>695</v>
      </c>
      <c r="E155" s="21" t="s">
        <v>1306</v>
      </c>
      <c r="F155" s="11">
        <v>159.0</v>
      </c>
      <c r="G155" s="11">
        <v>3.627</v>
      </c>
      <c r="H155" s="11" t="s">
        <v>49</v>
      </c>
      <c r="I155" s="11" t="s">
        <v>83</v>
      </c>
      <c r="J155" s="11" t="s">
        <v>82</v>
      </c>
      <c r="K155" s="11" t="s">
        <v>52</v>
      </c>
      <c r="L155" s="11" t="s">
        <v>54</v>
      </c>
      <c r="M155" s="11" t="s">
        <v>291</v>
      </c>
      <c r="N155" s="11" t="s">
        <v>105</v>
      </c>
      <c r="O155" s="11" t="s">
        <v>293</v>
      </c>
      <c r="P155" s="11" t="s">
        <v>51</v>
      </c>
      <c r="Q155" s="11" t="s">
        <v>169</v>
      </c>
      <c r="R155" s="11" t="s">
        <v>166</v>
      </c>
    </row>
    <row r="156">
      <c r="A156" s="10">
        <v>46192.95240119213</v>
      </c>
      <c r="B156" s="11" t="s">
        <v>395</v>
      </c>
      <c r="C156" s="11" t="s">
        <v>276</v>
      </c>
      <c r="D156" s="11" t="s">
        <v>394</v>
      </c>
      <c r="E156" s="21" t="s">
        <v>1309</v>
      </c>
      <c r="F156" s="11">
        <v>148.0</v>
      </c>
      <c r="G156" s="11">
        <v>3.28</v>
      </c>
      <c r="H156" s="11" t="s">
        <v>49</v>
      </c>
      <c r="I156" s="11" t="s">
        <v>83</v>
      </c>
      <c r="J156" s="11" t="s">
        <v>323</v>
      </c>
      <c r="K156" s="11" t="s">
        <v>55</v>
      </c>
      <c r="L156" s="11" t="s">
        <v>109</v>
      </c>
      <c r="M156" s="11" t="s">
        <v>148</v>
      </c>
      <c r="N156" s="11" t="s">
        <v>132</v>
      </c>
      <c r="O156" s="11" t="s">
        <v>197</v>
      </c>
      <c r="P156" s="11" t="s">
        <v>364</v>
      </c>
      <c r="Q156" s="11" t="s">
        <v>51</v>
      </c>
      <c r="R156" s="11" t="s">
        <v>36</v>
      </c>
    </row>
    <row r="157">
      <c r="A157" s="10">
        <v>46176.55243685185</v>
      </c>
      <c r="B157" s="11" t="s">
        <v>1310</v>
      </c>
      <c r="C157" s="11" t="s">
        <v>342</v>
      </c>
      <c r="D157" s="11" t="s">
        <v>1311</v>
      </c>
      <c r="E157" s="21" t="s">
        <v>1312</v>
      </c>
      <c r="F157" s="11">
        <v>184.0</v>
      </c>
      <c r="G157" s="11">
        <v>3.92</v>
      </c>
      <c r="H157" s="11" t="s">
        <v>49</v>
      </c>
      <c r="I157" s="11" t="s">
        <v>219</v>
      </c>
      <c r="J157" s="11" t="s">
        <v>83</v>
      </c>
      <c r="K157" s="11" t="s">
        <v>54</v>
      </c>
      <c r="L157" s="11" t="s">
        <v>85</v>
      </c>
      <c r="M157" s="11" t="s">
        <v>336</v>
      </c>
      <c r="N157" s="11" t="s">
        <v>346</v>
      </c>
      <c r="O157" s="11" t="s">
        <v>289</v>
      </c>
      <c r="P157" s="11" t="s">
        <v>293</v>
      </c>
      <c r="Q157" s="11" t="s">
        <v>80</v>
      </c>
      <c r="R157" s="11" t="s">
        <v>82</v>
      </c>
    </row>
    <row r="158">
      <c r="A158" s="10">
        <v>46191.661260740744</v>
      </c>
      <c r="B158" s="11" t="s">
        <v>1315</v>
      </c>
      <c r="C158" s="11" t="s">
        <v>1316</v>
      </c>
      <c r="D158" s="11" t="s">
        <v>1317</v>
      </c>
      <c r="E158" s="21" t="s">
        <v>1318</v>
      </c>
      <c r="F158" s="11">
        <v>315.0</v>
      </c>
      <c r="G158" s="11">
        <v>3.43</v>
      </c>
      <c r="H158" s="11" t="s">
        <v>49</v>
      </c>
      <c r="I158" s="11" t="s">
        <v>53</v>
      </c>
      <c r="J158" s="11" t="s">
        <v>85</v>
      </c>
      <c r="K158" s="11" t="s">
        <v>364</v>
      </c>
      <c r="L158" s="11" t="s">
        <v>225</v>
      </c>
      <c r="M158" s="11" t="s">
        <v>36</v>
      </c>
      <c r="N158" s="11" t="s">
        <v>59</v>
      </c>
      <c r="O158" s="11" t="s">
        <v>82</v>
      </c>
      <c r="P158" s="11" t="s">
        <v>83</v>
      </c>
      <c r="Q158" s="11" t="s">
        <v>52</v>
      </c>
      <c r="R158" s="11" t="s">
        <v>110</v>
      </c>
    </row>
    <row r="159">
      <c r="A159" s="10">
        <v>46194.8696457176</v>
      </c>
      <c r="B159" s="11" t="s">
        <v>1321</v>
      </c>
      <c r="C159" s="11" t="s">
        <v>387</v>
      </c>
      <c r="D159" s="11" t="s">
        <v>1322</v>
      </c>
      <c r="E159" s="21" t="s">
        <v>1323</v>
      </c>
      <c r="F159" s="11">
        <v>265.5</v>
      </c>
      <c r="G159" s="11">
        <v>3.95</v>
      </c>
      <c r="H159" s="11" t="s">
        <v>49</v>
      </c>
      <c r="I159" s="11" t="s">
        <v>53</v>
      </c>
      <c r="J159" s="11" t="s">
        <v>336</v>
      </c>
      <c r="K159" s="11" t="s">
        <v>54</v>
      </c>
      <c r="L159" s="11" t="s">
        <v>293</v>
      </c>
      <c r="M159" s="11" t="s">
        <v>52</v>
      </c>
      <c r="N159" s="11" t="s">
        <v>36</v>
      </c>
      <c r="O159" s="11" t="s">
        <v>225</v>
      </c>
      <c r="P159" s="11" t="s">
        <v>105</v>
      </c>
      <c r="Q159" s="11" t="s">
        <v>58</v>
      </c>
      <c r="R159" s="11" t="s">
        <v>171</v>
      </c>
    </row>
    <row r="160">
      <c r="A160" s="10">
        <v>46193.482949004625</v>
      </c>
      <c r="B160" s="11" t="s">
        <v>1179</v>
      </c>
      <c r="C160" s="11" t="s">
        <v>1177</v>
      </c>
      <c r="D160" s="11" t="s">
        <v>1178</v>
      </c>
      <c r="E160" s="21" t="s">
        <v>1326</v>
      </c>
      <c r="F160" s="11">
        <v>240.0</v>
      </c>
      <c r="G160" s="11">
        <v>3.82</v>
      </c>
      <c r="H160" s="11" t="s">
        <v>49</v>
      </c>
      <c r="I160" s="11" t="s">
        <v>53</v>
      </c>
      <c r="J160" s="11" t="s">
        <v>59</v>
      </c>
      <c r="K160" s="11" t="s">
        <v>54</v>
      </c>
      <c r="L160" s="11" t="s">
        <v>291</v>
      </c>
      <c r="M160" s="11" t="s">
        <v>85</v>
      </c>
      <c r="N160" s="11" t="s">
        <v>82</v>
      </c>
      <c r="O160" s="11" t="s">
        <v>52</v>
      </c>
      <c r="P160" s="11" t="s">
        <v>83</v>
      </c>
      <c r="Q160" s="11" t="s">
        <v>145</v>
      </c>
      <c r="R160" s="11" t="s">
        <v>219</v>
      </c>
    </row>
    <row r="161">
      <c r="A161" s="10">
        <v>46192.47658451389</v>
      </c>
      <c r="B161" s="11" t="s">
        <v>1170</v>
      </c>
      <c r="C161" s="11" t="s">
        <v>1164</v>
      </c>
      <c r="D161" s="11" t="s">
        <v>1169</v>
      </c>
      <c r="E161" s="21" t="s">
        <v>1330</v>
      </c>
      <c r="F161" s="11">
        <v>231.5</v>
      </c>
      <c r="G161" s="11">
        <v>3.966</v>
      </c>
      <c r="H161" s="11" t="s">
        <v>49</v>
      </c>
      <c r="I161" s="11" t="s">
        <v>53</v>
      </c>
      <c r="J161" s="11" t="s">
        <v>36</v>
      </c>
      <c r="K161" s="11" t="s">
        <v>52</v>
      </c>
      <c r="L161" s="11" t="s">
        <v>54</v>
      </c>
      <c r="M161" s="11" t="s">
        <v>51</v>
      </c>
      <c r="N161" s="11" t="s">
        <v>293</v>
      </c>
      <c r="O161" s="11" t="s">
        <v>145</v>
      </c>
      <c r="P161" s="11" t="s">
        <v>291</v>
      </c>
      <c r="Q161" s="11" t="s">
        <v>336</v>
      </c>
      <c r="R161" s="11" t="s">
        <v>132</v>
      </c>
    </row>
    <row r="162">
      <c r="A162" s="10">
        <v>46192.61475407408</v>
      </c>
      <c r="B162" s="11" t="s">
        <v>1331</v>
      </c>
      <c r="C162" s="11" t="s">
        <v>1332</v>
      </c>
      <c r="D162" s="11" t="s">
        <v>1333</v>
      </c>
      <c r="E162" s="21" t="s">
        <v>1334</v>
      </c>
      <c r="F162" s="11">
        <v>229.0</v>
      </c>
      <c r="G162" s="11">
        <v>3.921</v>
      </c>
      <c r="H162" s="11" t="s">
        <v>49</v>
      </c>
      <c r="I162" s="11" t="s">
        <v>53</v>
      </c>
      <c r="J162" s="11" t="s">
        <v>54</v>
      </c>
      <c r="K162" s="11" t="s">
        <v>51</v>
      </c>
      <c r="L162" s="11" t="s">
        <v>52</v>
      </c>
      <c r="M162" s="11" t="s">
        <v>235</v>
      </c>
      <c r="N162" s="11" t="s">
        <v>166</v>
      </c>
      <c r="O162" s="11" t="s">
        <v>83</v>
      </c>
      <c r="P162" s="11" t="s">
        <v>36</v>
      </c>
      <c r="Q162" s="11" t="s">
        <v>85</v>
      </c>
      <c r="R162" s="11" t="s">
        <v>59</v>
      </c>
    </row>
    <row r="163">
      <c r="A163" s="10">
        <v>46195.82443604167</v>
      </c>
      <c r="B163" s="11" t="s">
        <v>1030</v>
      </c>
      <c r="C163" s="11" t="s">
        <v>331</v>
      </c>
      <c r="D163" s="11" t="s">
        <v>1028</v>
      </c>
      <c r="E163" s="21" t="s">
        <v>1336</v>
      </c>
      <c r="F163" s="11">
        <v>224.0</v>
      </c>
      <c r="G163" s="11">
        <v>3.9</v>
      </c>
      <c r="H163" s="11" t="s">
        <v>49</v>
      </c>
      <c r="I163" s="11" t="s">
        <v>53</v>
      </c>
      <c r="J163" s="11" t="s">
        <v>83</v>
      </c>
      <c r="K163" s="11" t="s">
        <v>235</v>
      </c>
      <c r="L163" s="11" t="s">
        <v>54</v>
      </c>
      <c r="M163" s="11" t="s">
        <v>132</v>
      </c>
      <c r="N163" s="11" t="s">
        <v>219</v>
      </c>
      <c r="O163" s="11" t="s">
        <v>59</v>
      </c>
      <c r="P163" s="11" t="s">
        <v>145</v>
      </c>
      <c r="Q163" s="11" t="s">
        <v>323</v>
      </c>
      <c r="R163" s="11" t="s">
        <v>36</v>
      </c>
    </row>
    <row r="164">
      <c r="A164" s="10">
        <v>46191.579599502315</v>
      </c>
      <c r="B164" s="11" t="s">
        <v>548</v>
      </c>
      <c r="C164" s="11" t="s">
        <v>546</v>
      </c>
      <c r="D164" s="11" t="s">
        <v>547</v>
      </c>
      <c r="E164" s="21" t="s">
        <v>1337</v>
      </c>
      <c r="F164" s="11">
        <v>222.5</v>
      </c>
      <c r="G164" s="11">
        <v>3.87</v>
      </c>
      <c r="H164" s="11" t="s">
        <v>49</v>
      </c>
      <c r="I164" s="11" t="s">
        <v>53</v>
      </c>
      <c r="J164" s="11" t="s">
        <v>59</v>
      </c>
      <c r="K164" s="11" t="s">
        <v>52</v>
      </c>
      <c r="L164" s="11" t="s">
        <v>36</v>
      </c>
      <c r="M164" s="11" t="s">
        <v>105</v>
      </c>
      <c r="N164" s="11" t="s">
        <v>110</v>
      </c>
      <c r="O164" s="11" t="s">
        <v>83</v>
      </c>
      <c r="P164" s="11" t="s">
        <v>235</v>
      </c>
      <c r="Q164" s="11" t="s">
        <v>34</v>
      </c>
      <c r="R164" s="11" t="s">
        <v>364</v>
      </c>
    </row>
    <row r="165">
      <c r="A165" s="10">
        <v>46189.45832949074</v>
      </c>
      <c r="B165" s="11" t="s">
        <v>1300</v>
      </c>
      <c r="C165" s="11" t="s">
        <v>1294</v>
      </c>
      <c r="D165" s="11" t="s">
        <v>1299</v>
      </c>
      <c r="E165" s="21" t="s">
        <v>1340</v>
      </c>
      <c r="F165" s="11">
        <v>213.0</v>
      </c>
      <c r="G165" s="11">
        <v>3.82</v>
      </c>
      <c r="H165" s="11" t="s">
        <v>49</v>
      </c>
      <c r="I165" s="11" t="s">
        <v>53</v>
      </c>
      <c r="J165" s="11" t="s">
        <v>36</v>
      </c>
      <c r="K165" s="11" t="s">
        <v>54</v>
      </c>
      <c r="L165" s="11" t="s">
        <v>55</v>
      </c>
      <c r="M165" s="11" t="s">
        <v>59</v>
      </c>
      <c r="N165" s="11" t="s">
        <v>52</v>
      </c>
      <c r="O165" s="11" t="s">
        <v>56</v>
      </c>
      <c r="P165" s="11" t="s">
        <v>60</v>
      </c>
      <c r="Q165" s="11" t="s">
        <v>145</v>
      </c>
      <c r="R165" s="11" t="s">
        <v>82</v>
      </c>
    </row>
    <row r="166">
      <c r="A166" s="10">
        <v>46194.821284537036</v>
      </c>
      <c r="B166" s="11" t="s">
        <v>1198</v>
      </c>
      <c r="C166" s="11" t="s">
        <v>1196</v>
      </c>
      <c r="D166" s="11" t="s">
        <v>1197</v>
      </c>
      <c r="E166" s="21" t="s">
        <v>1343</v>
      </c>
      <c r="F166" s="11">
        <v>212.0</v>
      </c>
      <c r="G166" s="11">
        <v>3.7</v>
      </c>
      <c r="H166" s="11" t="s">
        <v>49</v>
      </c>
      <c r="I166" s="11" t="s">
        <v>53</v>
      </c>
      <c r="J166" s="11" t="s">
        <v>54</v>
      </c>
      <c r="K166" s="11" t="s">
        <v>52</v>
      </c>
      <c r="L166" s="11" t="s">
        <v>51</v>
      </c>
      <c r="M166" s="11" t="s">
        <v>132</v>
      </c>
      <c r="N166" s="11" t="s">
        <v>336</v>
      </c>
      <c r="O166" s="11" t="s">
        <v>55</v>
      </c>
      <c r="P166" s="11" t="s">
        <v>166</v>
      </c>
      <c r="Q166" s="11" t="s">
        <v>59</v>
      </c>
      <c r="R166" s="11" t="s">
        <v>235</v>
      </c>
    </row>
    <row r="167">
      <c r="A167" s="10">
        <v>46195.85588920139</v>
      </c>
      <c r="B167" s="11" t="s">
        <v>1345</v>
      </c>
      <c r="C167" s="11" t="s">
        <v>270</v>
      </c>
      <c r="D167" s="11" t="s">
        <v>1346</v>
      </c>
      <c r="E167" s="21" t="s">
        <v>1347</v>
      </c>
      <c r="F167" s="11">
        <v>211.0</v>
      </c>
      <c r="G167" s="11">
        <v>3.77</v>
      </c>
      <c r="H167" s="11" t="s">
        <v>49</v>
      </c>
      <c r="I167" s="11" t="s">
        <v>53</v>
      </c>
      <c r="J167" s="11" t="s">
        <v>83</v>
      </c>
      <c r="K167" s="11" t="s">
        <v>346</v>
      </c>
      <c r="L167" s="11" t="s">
        <v>110</v>
      </c>
      <c r="M167" s="11" t="s">
        <v>59</v>
      </c>
      <c r="N167" s="11" t="s">
        <v>85</v>
      </c>
    </row>
    <row r="168">
      <c r="A168" s="10">
        <v>46190.94900753473</v>
      </c>
      <c r="B168" s="11" t="s">
        <v>1350</v>
      </c>
      <c r="C168" s="11" t="s">
        <v>1351</v>
      </c>
      <c r="D168" s="11" t="s">
        <v>1352</v>
      </c>
      <c r="E168" s="21" t="s">
        <v>1353</v>
      </c>
      <c r="F168" s="11">
        <v>207.0</v>
      </c>
      <c r="G168" s="11">
        <v>3.938</v>
      </c>
      <c r="H168" s="11" t="s">
        <v>49</v>
      </c>
      <c r="I168" s="11" t="s">
        <v>53</v>
      </c>
      <c r="J168" s="11" t="s">
        <v>59</v>
      </c>
      <c r="K168" s="11" t="s">
        <v>323</v>
      </c>
      <c r="L168" s="11" t="s">
        <v>197</v>
      </c>
      <c r="M168" s="11" t="s">
        <v>110</v>
      </c>
    </row>
    <row r="169">
      <c r="A169" s="10">
        <v>46191.66540064815</v>
      </c>
      <c r="B169" s="11" t="s">
        <v>1329</v>
      </c>
      <c r="C169" s="11" t="s">
        <v>1327</v>
      </c>
      <c r="D169" s="11" t="s">
        <v>1328</v>
      </c>
      <c r="E169" s="21" t="s">
        <v>1355</v>
      </c>
      <c r="F169" s="11">
        <v>206.0</v>
      </c>
      <c r="G169" s="11">
        <v>3.32</v>
      </c>
      <c r="H169" s="11" t="s">
        <v>49</v>
      </c>
      <c r="I169" s="11" t="s">
        <v>53</v>
      </c>
      <c r="J169" s="11" t="s">
        <v>148</v>
      </c>
      <c r="K169" s="11" t="s">
        <v>52</v>
      </c>
      <c r="L169" s="11" t="s">
        <v>59</v>
      </c>
      <c r="M169" s="11" t="s">
        <v>51</v>
      </c>
      <c r="N169" s="11" t="s">
        <v>305</v>
      </c>
      <c r="O169" s="11" t="s">
        <v>73</v>
      </c>
      <c r="P169" s="11" t="s">
        <v>110</v>
      </c>
      <c r="Q169" s="11" t="s">
        <v>70</v>
      </c>
      <c r="R169" s="11" t="s">
        <v>85</v>
      </c>
    </row>
    <row r="170">
      <c r="A170" s="10">
        <v>46193.5336827662</v>
      </c>
      <c r="B170" s="11" t="s">
        <v>1089</v>
      </c>
      <c r="C170" s="11" t="s">
        <v>1084</v>
      </c>
      <c r="D170" s="11" t="s">
        <v>1088</v>
      </c>
      <c r="E170" s="21" t="s">
        <v>1356</v>
      </c>
      <c r="F170" s="11">
        <v>196.0</v>
      </c>
      <c r="G170" s="11">
        <v>3.8</v>
      </c>
      <c r="H170" s="11" t="s">
        <v>49</v>
      </c>
      <c r="I170" s="11" t="s">
        <v>53</v>
      </c>
      <c r="J170" s="11" t="s">
        <v>54</v>
      </c>
      <c r="K170" s="11" t="s">
        <v>36</v>
      </c>
      <c r="L170" s="11" t="s">
        <v>52</v>
      </c>
      <c r="M170" s="11" t="s">
        <v>51</v>
      </c>
      <c r="N170" s="11" t="s">
        <v>364</v>
      </c>
      <c r="O170" s="11" t="s">
        <v>59</v>
      </c>
      <c r="P170" s="11" t="s">
        <v>145</v>
      </c>
      <c r="Q170" s="11" t="s">
        <v>55</v>
      </c>
      <c r="R170" s="11" t="s">
        <v>56</v>
      </c>
    </row>
    <row r="171">
      <c r="A171" s="10">
        <v>46194.35175335648</v>
      </c>
      <c r="B171" s="11" t="s">
        <v>1360</v>
      </c>
      <c r="C171" s="11" t="s">
        <v>190</v>
      </c>
      <c r="D171" s="11" t="s">
        <v>1361</v>
      </c>
      <c r="E171" s="21" t="s">
        <v>1362</v>
      </c>
      <c r="F171" s="11">
        <v>185.5</v>
      </c>
      <c r="G171" s="11">
        <v>3.764</v>
      </c>
      <c r="H171" s="11" t="s">
        <v>49</v>
      </c>
      <c r="I171" s="11" t="s">
        <v>53</v>
      </c>
      <c r="J171" s="11" t="s">
        <v>59</v>
      </c>
      <c r="K171" s="11" t="s">
        <v>364</v>
      </c>
      <c r="L171" s="11" t="s">
        <v>58</v>
      </c>
      <c r="M171" s="11" t="s">
        <v>54</v>
      </c>
      <c r="N171" s="11" t="s">
        <v>36</v>
      </c>
      <c r="O171" s="11" t="s">
        <v>60</v>
      </c>
      <c r="P171" s="11" t="s">
        <v>55</v>
      </c>
      <c r="Q171" s="11" t="s">
        <v>289</v>
      </c>
      <c r="R171" s="11" t="s">
        <v>191</v>
      </c>
    </row>
    <row r="172">
      <c r="A172" s="10">
        <v>46192.64566190972</v>
      </c>
      <c r="B172" s="11" t="s">
        <v>1339</v>
      </c>
      <c r="C172" s="11" t="s">
        <v>1335</v>
      </c>
      <c r="D172" s="11" t="s">
        <v>1338</v>
      </c>
      <c r="E172" s="21" t="s">
        <v>1363</v>
      </c>
      <c r="F172" s="11">
        <v>184.5</v>
      </c>
      <c r="G172" s="11">
        <v>3.78</v>
      </c>
      <c r="H172" s="11" t="s">
        <v>49</v>
      </c>
      <c r="I172" s="11" t="s">
        <v>53</v>
      </c>
      <c r="J172" s="11" t="s">
        <v>59</v>
      </c>
      <c r="K172" s="11" t="s">
        <v>83</v>
      </c>
      <c r="L172" s="11" t="s">
        <v>60</v>
      </c>
      <c r="M172" s="11" t="s">
        <v>82</v>
      </c>
      <c r="N172" s="11" t="s">
        <v>110</v>
      </c>
      <c r="O172" s="11" t="s">
        <v>55</v>
      </c>
      <c r="P172" s="11" t="s">
        <v>36</v>
      </c>
      <c r="Q172" s="11" t="s">
        <v>273</v>
      </c>
      <c r="R172" s="11" t="s">
        <v>219</v>
      </c>
    </row>
    <row r="173">
      <c r="A173" s="10">
        <v>46194.227186793985</v>
      </c>
      <c r="B173" s="11" t="s">
        <v>1364</v>
      </c>
      <c r="C173" s="11" t="s">
        <v>1365</v>
      </c>
      <c r="D173" s="11" t="s">
        <v>1366</v>
      </c>
      <c r="E173" s="21" t="s">
        <v>1367</v>
      </c>
      <c r="F173" s="11">
        <v>181.0</v>
      </c>
      <c r="G173" s="11">
        <v>3.35</v>
      </c>
      <c r="H173" s="11" t="s">
        <v>49</v>
      </c>
      <c r="I173" s="11" t="s">
        <v>53</v>
      </c>
      <c r="J173" s="11" t="s">
        <v>82</v>
      </c>
      <c r="K173" s="11" t="s">
        <v>54</v>
      </c>
      <c r="L173" s="11" t="s">
        <v>83</v>
      </c>
      <c r="M173" s="11" t="s">
        <v>59</v>
      </c>
      <c r="N173" s="11" t="s">
        <v>305</v>
      </c>
      <c r="O173" s="11" t="s">
        <v>235</v>
      </c>
      <c r="P173" s="11" t="s">
        <v>58</v>
      </c>
      <c r="Q173" s="11" t="s">
        <v>80</v>
      </c>
      <c r="R173" s="11" t="s">
        <v>341</v>
      </c>
    </row>
    <row r="174">
      <c r="A174" s="10">
        <v>46194.817076666666</v>
      </c>
      <c r="B174" s="11" t="s">
        <v>897</v>
      </c>
      <c r="C174" s="11" t="s">
        <v>895</v>
      </c>
      <c r="D174" s="11" t="s">
        <v>896</v>
      </c>
      <c r="E174" s="21" t="s">
        <v>1371</v>
      </c>
      <c r="F174" s="11">
        <v>180.0</v>
      </c>
      <c r="G174" s="11">
        <v>3.695</v>
      </c>
      <c r="H174" s="11" t="s">
        <v>49</v>
      </c>
      <c r="I174" s="11" t="s">
        <v>53</v>
      </c>
      <c r="J174" s="11" t="s">
        <v>59</v>
      </c>
      <c r="K174" s="11" t="s">
        <v>145</v>
      </c>
      <c r="L174" s="11" t="s">
        <v>291</v>
      </c>
      <c r="M174" s="11" t="s">
        <v>80</v>
      </c>
      <c r="N174" s="11" t="s">
        <v>54</v>
      </c>
      <c r="O174" s="11" t="s">
        <v>219</v>
      </c>
      <c r="P174" s="11" t="s">
        <v>364</v>
      </c>
      <c r="Q174" s="11" t="s">
        <v>293</v>
      </c>
      <c r="R174" s="11" t="s">
        <v>83</v>
      </c>
    </row>
    <row r="175">
      <c r="A175" s="10">
        <v>46195.82938415509</v>
      </c>
      <c r="B175" s="11" t="s">
        <v>622</v>
      </c>
      <c r="C175" s="11" t="s">
        <v>620</v>
      </c>
      <c r="D175" s="11" t="s">
        <v>621</v>
      </c>
      <c r="E175" s="21" t="s">
        <v>1375</v>
      </c>
      <c r="F175" s="11">
        <v>178.0</v>
      </c>
      <c r="G175" s="11">
        <v>3.28</v>
      </c>
      <c r="H175" s="11" t="s">
        <v>49</v>
      </c>
      <c r="I175" s="11" t="s">
        <v>53</v>
      </c>
      <c r="J175" s="11" t="s">
        <v>54</v>
      </c>
      <c r="K175" s="11" t="s">
        <v>110</v>
      </c>
      <c r="L175" s="11" t="s">
        <v>36</v>
      </c>
      <c r="M175" s="11" t="s">
        <v>59</v>
      </c>
    </row>
    <row r="176">
      <c r="A176" s="10">
        <v>46195.99129993055</v>
      </c>
      <c r="B176" s="11" t="s">
        <v>1376</v>
      </c>
      <c r="C176" s="11" t="s">
        <v>1377</v>
      </c>
      <c r="D176" s="11" t="s">
        <v>1378</v>
      </c>
      <c r="E176" s="21" t="s">
        <v>1379</v>
      </c>
      <c r="F176" s="11">
        <v>177.5</v>
      </c>
      <c r="G176" s="11">
        <v>3.778</v>
      </c>
      <c r="H176" s="11" t="s">
        <v>49</v>
      </c>
      <c r="I176" s="11" t="s">
        <v>53</v>
      </c>
      <c r="J176" s="11" t="s">
        <v>54</v>
      </c>
      <c r="K176" s="11" t="s">
        <v>51</v>
      </c>
      <c r="L176" s="11" t="s">
        <v>291</v>
      </c>
      <c r="M176" s="11" t="s">
        <v>36</v>
      </c>
      <c r="N176" s="11" t="s">
        <v>293</v>
      </c>
      <c r="O176" s="11" t="s">
        <v>59</v>
      </c>
      <c r="P176" s="11" t="s">
        <v>145</v>
      </c>
      <c r="Q176" s="11" t="s">
        <v>364</v>
      </c>
      <c r="R176" s="11" t="s">
        <v>52</v>
      </c>
    </row>
    <row r="177">
      <c r="A177" s="10">
        <v>46195.68609853009</v>
      </c>
      <c r="B177" s="11" t="s">
        <v>1383</v>
      </c>
      <c r="C177" s="11" t="s">
        <v>1384</v>
      </c>
      <c r="D177" s="11" t="s">
        <v>1385</v>
      </c>
      <c r="E177" s="21" t="s">
        <v>1386</v>
      </c>
      <c r="F177" s="11">
        <v>175.0</v>
      </c>
      <c r="G177" s="11">
        <v>3.96</v>
      </c>
      <c r="H177" s="11" t="s">
        <v>49</v>
      </c>
      <c r="I177" s="11" t="s">
        <v>53</v>
      </c>
      <c r="J177" s="11" t="s">
        <v>54</v>
      </c>
      <c r="K177" s="11" t="s">
        <v>36</v>
      </c>
      <c r="L177" s="11" t="s">
        <v>52</v>
      </c>
      <c r="M177" s="11" t="s">
        <v>145</v>
      </c>
      <c r="N177" s="11" t="s">
        <v>83</v>
      </c>
      <c r="O177" s="11" t="s">
        <v>148</v>
      </c>
    </row>
    <row r="178">
      <c r="A178" s="10">
        <v>46195.67157569445</v>
      </c>
      <c r="B178" s="11" t="s">
        <v>1314</v>
      </c>
      <c r="C178" s="11" t="s">
        <v>103</v>
      </c>
      <c r="D178" s="11" t="s">
        <v>1313</v>
      </c>
      <c r="E178" s="21" t="s">
        <v>1387</v>
      </c>
      <c r="F178" s="11">
        <v>174.0</v>
      </c>
      <c r="G178" s="11">
        <v>3.921</v>
      </c>
      <c r="H178" s="11" t="s">
        <v>49</v>
      </c>
      <c r="I178" s="11" t="s">
        <v>53</v>
      </c>
      <c r="J178" s="11" t="s">
        <v>54</v>
      </c>
      <c r="K178" s="11" t="s">
        <v>59</v>
      </c>
      <c r="L178" s="11" t="s">
        <v>36</v>
      </c>
      <c r="M178" s="11" t="s">
        <v>55</v>
      </c>
      <c r="N178" s="11" t="s">
        <v>145</v>
      </c>
      <c r="O178" s="11" t="s">
        <v>293</v>
      </c>
      <c r="P178" s="11" t="s">
        <v>56</v>
      </c>
      <c r="Q178" s="11" t="s">
        <v>60</v>
      </c>
      <c r="R178" s="11" t="s">
        <v>336</v>
      </c>
    </row>
    <row r="179">
      <c r="A179" s="10">
        <v>46195.875213796295</v>
      </c>
      <c r="B179" s="11" t="s">
        <v>1388</v>
      </c>
      <c r="C179" s="11" t="s">
        <v>158</v>
      </c>
      <c r="D179" s="11" t="s">
        <v>1389</v>
      </c>
      <c r="E179" s="21" t="s">
        <v>1390</v>
      </c>
      <c r="F179" s="11">
        <v>172.0</v>
      </c>
      <c r="G179" s="11">
        <v>3.2</v>
      </c>
      <c r="H179" s="11" t="s">
        <v>49</v>
      </c>
      <c r="I179" s="11" t="s">
        <v>53</v>
      </c>
      <c r="J179" s="11" t="s">
        <v>52</v>
      </c>
      <c r="K179" s="11" t="s">
        <v>54</v>
      </c>
      <c r="L179" s="11" t="s">
        <v>51</v>
      </c>
      <c r="M179" s="11" t="s">
        <v>59</v>
      </c>
      <c r="N179" s="11" t="s">
        <v>145</v>
      </c>
      <c r="O179" s="11" t="s">
        <v>364</v>
      </c>
      <c r="P179" s="11" t="s">
        <v>58</v>
      </c>
      <c r="Q179" s="11" t="s">
        <v>336</v>
      </c>
      <c r="R179" s="11" t="s">
        <v>293</v>
      </c>
    </row>
    <row r="180">
      <c r="A180" s="10">
        <v>46192.56836734954</v>
      </c>
      <c r="B180" s="11" t="s">
        <v>1349</v>
      </c>
      <c r="C180" s="11" t="s">
        <v>1344</v>
      </c>
      <c r="D180" s="11" t="s">
        <v>1348</v>
      </c>
      <c r="E180" s="21" t="s">
        <v>1391</v>
      </c>
      <c r="F180" s="11">
        <v>170.5</v>
      </c>
      <c r="G180" s="11">
        <v>3.52</v>
      </c>
      <c r="H180" s="11" t="s">
        <v>49</v>
      </c>
      <c r="I180" s="11" t="s">
        <v>53</v>
      </c>
      <c r="J180" s="11" t="s">
        <v>51</v>
      </c>
      <c r="K180" s="11" t="s">
        <v>52</v>
      </c>
      <c r="L180" s="11" t="s">
        <v>54</v>
      </c>
      <c r="M180" s="11" t="s">
        <v>364</v>
      </c>
      <c r="N180" s="11" t="s">
        <v>59</v>
      </c>
      <c r="O180" s="11" t="s">
        <v>145</v>
      </c>
      <c r="P180" s="11" t="s">
        <v>55</v>
      </c>
      <c r="Q180" s="11" t="s">
        <v>148</v>
      </c>
      <c r="R180" s="11" t="s">
        <v>109</v>
      </c>
    </row>
    <row r="181">
      <c r="A181" s="10">
        <v>46195.87764934028</v>
      </c>
      <c r="B181" s="11" t="s">
        <v>1264</v>
      </c>
      <c r="C181" s="11" t="s">
        <v>1261</v>
      </c>
      <c r="D181" s="11" t="s">
        <v>1263</v>
      </c>
      <c r="E181" s="21" t="s">
        <v>1392</v>
      </c>
      <c r="F181" s="11">
        <v>170.0</v>
      </c>
      <c r="G181" s="11">
        <v>3.8</v>
      </c>
      <c r="H181" s="11" t="s">
        <v>49</v>
      </c>
      <c r="I181" s="11" t="s">
        <v>53</v>
      </c>
      <c r="J181" s="11" t="s">
        <v>54</v>
      </c>
      <c r="K181" s="11" t="s">
        <v>36</v>
      </c>
      <c r="L181" s="11" t="s">
        <v>83</v>
      </c>
      <c r="M181" s="11" t="s">
        <v>291</v>
      </c>
      <c r="N181" s="11" t="s">
        <v>364</v>
      </c>
      <c r="O181" s="11" t="s">
        <v>59</v>
      </c>
      <c r="P181" s="11" t="s">
        <v>52</v>
      </c>
      <c r="Q181" s="11" t="s">
        <v>145</v>
      </c>
      <c r="R181" s="11" t="s">
        <v>110</v>
      </c>
    </row>
    <row r="182">
      <c r="A182" s="10">
        <v>46191.65118825232</v>
      </c>
      <c r="B182" s="11" t="s">
        <v>590</v>
      </c>
      <c r="C182" s="11" t="s">
        <v>588</v>
      </c>
      <c r="D182" s="11" t="s">
        <v>589</v>
      </c>
      <c r="E182" s="21" t="s">
        <v>1393</v>
      </c>
      <c r="F182" s="11">
        <v>169.0</v>
      </c>
      <c r="G182" s="11">
        <v>3.96</v>
      </c>
      <c r="H182" s="11" t="s">
        <v>49</v>
      </c>
      <c r="I182" s="11" t="s">
        <v>53</v>
      </c>
      <c r="J182" s="11" t="s">
        <v>36</v>
      </c>
      <c r="K182" s="11" t="s">
        <v>52</v>
      </c>
      <c r="L182" s="11" t="s">
        <v>291</v>
      </c>
      <c r="M182" s="11" t="s">
        <v>85</v>
      </c>
      <c r="N182" s="11" t="s">
        <v>54</v>
      </c>
      <c r="O182" s="11" t="s">
        <v>51</v>
      </c>
      <c r="P182" s="11" t="s">
        <v>59</v>
      </c>
    </row>
    <row r="183">
      <c r="A183" s="10">
        <v>46195.907625810185</v>
      </c>
      <c r="B183" s="11" t="s">
        <v>1129</v>
      </c>
      <c r="C183" s="11" t="s">
        <v>283</v>
      </c>
      <c r="D183" s="11" t="s">
        <v>1128</v>
      </c>
      <c r="E183" s="21" t="s">
        <v>1394</v>
      </c>
      <c r="F183" s="11">
        <v>162.0</v>
      </c>
      <c r="G183" s="11">
        <v>3.95</v>
      </c>
      <c r="H183" s="11" t="s">
        <v>49</v>
      </c>
      <c r="I183" s="11" t="s">
        <v>53</v>
      </c>
      <c r="J183" s="11" t="s">
        <v>54</v>
      </c>
      <c r="K183" s="11" t="s">
        <v>291</v>
      </c>
      <c r="L183" s="11" t="s">
        <v>52</v>
      </c>
      <c r="M183" s="11" t="s">
        <v>36</v>
      </c>
      <c r="N183" s="11" t="s">
        <v>83</v>
      </c>
      <c r="O183" s="11" t="s">
        <v>364</v>
      </c>
      <c r="P183" s="11" t="s">
        <v>51</v>
      </c>
      <c r="Q183" s="11" t="s">
        <v>293</v>
      </c>
      <c r="R183" s="11" t="s">
        <v>85</v>
      </c>
    </row>
    <row r="184">
      <c r="A184" s="10">
        <v>46195.674154050925</v>
      </c>
      <c r="B184" s="11" t="s">
        <v>1138</v>
      </c>
      <c r="C184" s="11" t="s">
        <v>287</v>
      </c>
      <c r="D184" s="11" t="s">
        <v>1137</v>
      </c>
      <c r="E184" s="21" t="s">
        <v>1395</v>
      </c>
      <c r="F184" s="11">
        <v>161.0</v>
      </c>
      <c r="G184" s="11">
        <v>3.89</v>
      </c>
      <c r="H184" s="11" t="s">
        <v>49</v>
      </c>
      <c r="I184" s="11" t="s">
        <v>53</v>
      </c>
      <c r="J184" s="11" t="s">
        <v>59</v>
      </c>
      <c r="K184" s="11" t="s">
        <v>293</v>
      </c>
      <c r="L184" s="11" t="s">
        <v>291</v>
      </c>
      <c r="M184" s="11" t="s">
        <v>36</v>
      </c>
      <c r="N184" s="11" t="s">
        <v>54</v>
      </c>
      <c r="O184" s="11" t="s">
        <v>219</v>
      </c>
      <c r="P184" s="11" t="s">
        <v>110</v>
      </c>
      <c r="Q184" s="11" t="s">
        <v>82</v>
      </c>
      <c r="R184" s="11" t="s">
        <v>80</v>
      </c>
    </row>
    <row r="185">
      <c r="A185" s="10">
        <v>46195.29906197917</v>
      </c>
      <c r="B185" s="11" t="s">
        <v>1398</v>
      </c>
      <c r="C185" s="11" t="s">
        <v>1399</v>
      </c>
      <c r="D185" s="11" t="s">
        <v>1400</v>
      </c>
      <c r="E185" s="21" t="s">
        <v>1401</v>
      </c>
      <c r="F185" s="11">
        <v>155.0</v>
      </c>
      <c r="G185" s="11">
        <v>3.92</v>
      </c>
      <c r="H185" s="11" t="s">
        <v>49</v>
      </c>
      <c r="I185" s="11" t="s">
        <v>53</v>
      </c>
      <c r="J185" s="11" t="s">
        <v>110</v>
      </c>
      <c r="K185" s="11" t="s">
        <v>59</v>
      </c>
      <c r="L185" s="11" t="s">
        <v>364</v>
      </c>
      <c r="M185" s="11" t="s">
        <v>235</v>
      </c>
      <c r="N185" s="11" t="s">
        <v>54</v>
      </c>
      <c r="O185" s="11" t="s">
        <v>66</v>
      </c>
      <c r="P185" s="11" t="s">
        <v>80</v>
      </c>
      <c r="Q185" s="11" t="s">
        <v>171</v>
      </c>
      <c r="R185" s="11" t="s">
        <v>109</v>
      </c>
    </row>
    <row r="186">
      <c r="A186" s="10">
        <v>46195.54408453703</v>
      </c>
      <c r="B186" s="11" t="s">
        <v>1403</v>
      </c>
      <c r="C186" s="11" t="s">
        <v>1404</v>
      </c>
      <c r="D186" s="11" t="s">
        <v>1405</v>
      </c>
      <c r="E186" s="21" t="s">
        <v>1406</v>
      </c>
      <c r="F186" s="11">
        <v>140.0</v>
      </c>
      <c r="G186" s="11">
        <v>3.86</v>
      </c>
      <c r="H186" s="11" t="s">
        <v>49</v>
      </c>
      <c r="I186" s="11" t="s">
        <v>53</v>
      </c>
      <c r="J186" s="11" t="s">
        <v>51</v>
      </c>
      <c r="K186" s="11" t="s">
        <v>56</v>
      </c>
      <c r="L186" s="11" t="s">
        <v>59</v>
      </c>
      <c r="M186" s="11" t="s">
        <v>54</v>
      </c>
      <c r="N186" s="11" t="s">
        <v>336</v>
      </c>
      <c r="O186" s="11" t="s">
        <v>132</v>
      </c>
      <c r="P186" s="11" t="s">
        <v>293</v>
      </c>
      <c r="Q186" s="11" t="s">
        <v>58</v>
      </c>
      <c r="R186" s="11" t="s">
        <v>105</v>
      </c>
    </row>
    <row r="187">
      <c r="A187" s="10">
        <v>46193.74625847222</v>
      </c>
      <c r="B187" s="11" t="s">
        <v>633</v>
      </c>
      <c r="C187" s="11" t="s">
        <v>631</v>
      </c>
      <c r="D187" s="11" t="s">
        <v>632</v>
      </c>
      <c r="E187" s="21" t="s">
        <v>1409</v>
      </c>
      <c r="F187" s="11">
        <v>136.0</v>
      </c>
      <c r="G187" s="11">
        <v>3.717</v>
      </c>
      <c r="H187" s="11" t="s">
        <v>49</v>
      </c>
      <c r="I187" s="11" t="s">
        <v>53</v>
      </c>
      <c r="J187" s="11" t="s">
        <v>51</v>
      </c>
      <c r="K187" s="11" t="s">
        <v>54</v>
      </c>
      <c r="L187" s="11" t="s">
        <v>291</v>
      </c>
      <c r="M187" s="11" t="s">
        <v>59</v>
      </c>
      <c r="N187" s="11" t="s">
        <v>132</v>
      </c>
      <c r="O187" s="11" t="s">
        <v>132</v>
      </c>
      <c r="P187" s="11" t="s">
        <v>59</v>
      </c>
      <c r="Q187" s="11" t="s">
        <v>56</v>
      </c>
      <c r="R187" s="11" t="s">
        <v>60</v>
      </c>
    </row>
    <row r="188">
      <c r="A188" s="10">
        <v>46195.89621443287</v>
      </c>
      <c r="B188" s="11" t="s">
        <v>514</v>
      </c>
      <c r="C188" s="11" t="s">
        <v>509</v>
      </c>
      <c r="D188" s="11" t="s">
        <v>513</v>
      </c>
      <c r="E188" s="21" t="s">
        <v>1410</v>
      </c>
      <c r="F188" s="11">
        <v>134.0</v>
      </c>
      <c r="G188" s="11">
        <v>3.25</v>
      </c>
      <c r="H188" s="11" t="s">
        <v>49</v>
      </c>
      <c r="I188" s="11" t="s">
        <v>53</v>
      </c>
      <c r="J188" s="11" t="s">
        <v>66</v>
      </c>
      <c r="K188" s="11" t="s">
        <v>336</v>
      </c>
      <c r="L188" s="11" t="s">
        <v>293</v>
      </c>
      <c r="M188" s="11" t="s">
        <v>59</v>
      </c>
      <c r="N188" s="11" t="s">
        <v>73</v>
      </c>
      <c r="O188" s="11" t="s">
        <v>54</v>
      </c>
      <c r="P188" s="11" t="s">
        <v>51</v>
      </c>
      <c r="Q188" s="11" t="s">
        <v>105</v>
      </c>
      <c r="R188" s="11" t="s">
        <v>166</v>
      </c>
    </row>
    <row r="189">
      <c r="A189" s="10">
        <v>46189.77536615741</v>
      </c>
      <c r="B189" s="11" t="s">
        <v>660</v>
      </c>
      <c r="C189" s="11" t="s">
        <v>658</v>
      </c>
      <c r="D189" s="11" t="s">
        <v>659</v>
      </c>
      <c r="E189" s="21" t="s">
        <v>1411</v>
      </c>
      <c r="F189" s="11">
        <v>90.0</v>
      </c>
      <c r="G189" s="11">
        <v>3.89</v>
      </c>
      <c r="H189" s="11" t="s">
        <v>49</v>
      </c>
      <c r="I189" s="11" t="s">
        <v>53</v>
      </c>
      <c r="J189" s="11" t="s">
        <v>54</v>
      </c>
      <c r="K189" s="11" t="s">
        <v>293</v>
      </c>
      <c r="L189" s="11" t="s">
        <v>36</v>
      </c>
      <c r="M189" s="11" t="s">
        <v>60</v>
      </c>
      <c r="N189" s="11" t="s">
        <v>52</v>
      </c>
      <c r="O189" s="11" t="s">
        <v>291</v>
      </c>
      <c r="P189" s="11" t="s">
        <v>73</v>
      </c>
      <c r="Q189" s="11" t="s">
        <v>225</v>
      </c>
      <c r="R189" s="11" t="s">
        <v>83</v>
      </c>
    </row>
    <row r="190">
      <c r="A190" s="10">
        <v>46194.65326265046</v>
      </c>
      <c r="B190" s="11" t="s">
        <v>852</v>
      </c>
      <c r="C190" s="11" t="s">
        <v>848</v>
      </c>
      <c r="D190" s="11" t="s">
        <v>851</v>
      </c>
      <c r="E190" s="21" t="s">
        <v>1412</v>
      </c>
      <c r="F190" s="11">
        <v>225.0</v>
      </c>
      <c r="G190" s="11">
        <v>3.95</v>
      </c>
      <c r="H190" s="11" t="s">
        <v>49</v>
      </c>
      <c r="I190" s="11" t="s">
        <v>225</v>
      </c>
      <c r="J190" s="11" t="s">
        <v>80</v>
      </c>
      <c r="K190" s="11" t="s">
        <v>83</v>
      </c>
      <c r="L190" s="11" t="s">
        <v>197</v>
      </c>
      <c r="M190" s="11" t="s">
        <v>52</v>
      </c>
      <c r="N190" s="11" t="s">
        <v>207</v>
      </c>
      <c r="O190" s="11" t="s">
        <v>60</v>
      </c>
      <c r="P190" s="11" t="s">
        <v>110</v>
      </c>
      <c r="Q190" s="11" t="s">
        <v>235</v>
      </c>
      <c r="R190" s="11" t="s">
        <v>36</v>
      </c>
    </row>
    <row r="191">
      <c r="A191" s="10">
        <v>46193.00831143519</v>
      </c>
      <c r="B191" s="11" t="s">
        <v>1413</v>
      </c>
      <c r="C191" s="11" t="s">
        <v>1414</v>
      </c>
      <c r="D191" s="11" t="s">
        <v>1415</v>
      </c>
      <c r="E191" s="21" t="s">
        <v>1416</v>
      </c>
      <c r="F191" s="11">
        <v>175.0</v>
      </c>
      <c r="G191" s="11">
        <v>3.769</v>
      </c>
      <c r="H191" s="11" t="s">
        <v>49</v>
      </c>
      <c r="I191" s="11" t="s">
        <v>225</v>
      </c>
      <c r="J191" s="11" t="s">
        <v>83</v>
      </c>
      <c r="K191" s="11" t="s">
        <v>273</v>
      </c>
      <c r="L191" s="11" t="s">
        <v>110</v>
      </c>
      <c r="M191" s="11" t="s">
        <v>59</v>
      </c>
      <c r="N191" s="11" t="s">
        <v>235</v>
      </c>
      <c r="O191" s="11" t="s">
        <v>148</v>
      </c>
      <c r="P191" s="11" t="s">
        <v>145</v>
      </c>
      <c r="Q191" s="11" t="s">
        <v>73</v>
      </c>
      <c r="R191" s="11" t="s">
        <v>191</v>
      </c>
    </row>
    <row r="192">
      <c r="A192" s="10">
        <v>46191.48717515046</v>
      </c>
      <c r="B192" s="11" t="s">
        <v>1417</v>
      </c>
      <c r="C192" s="11" t="s">
        <v>1418</v>
      </c>
      <c r="D192" s="11" t="s">
        <v>1419</v>
      </c>
      <c r="E192" s="21" t="s">
        <v>1420</v>
      </c>
      <c r="F192" s="11">
        <v>161.0</v>
      </c>
      <c r="G192" s="11">
        <v>3.78</v>
      </c>
      <c r="H192" s="11" t="s">
        <v>49</v>
      </c>
      <c r="I192" s="11" t="s">
        <v>225</v>
      </c>
      <c r="J192" s="11" t="s">
        <v>191</v>
      </c>
      <c r="K192" s="11" t="s">
        <v>197</v>
      </c>
      <c r="L192" s="11" t="s">
        <v>80</v>
      </c>
      <c r="M192" s="11" t="s">
        <v>291</v>
      </c>
      <c r="N192" s="11" t="s">
        <v>336</v>
      </c>
      <c r="O192" s="11" t="s">
        <v>235</v>
      </c>
      <c r="P192" s="11" t="s">
        <v>36</v>
      </c>
      <c r="Q192" s="11" t="s">
        <v>305</v>
      </c>
      <c r="R192" s="11" t="s">
        <v>51</v>
      </c>
    </row>
    <row r="193">
      <c r="A193" s="10">
        <v>46176.7409690625</v>
      </c>
      <c r="B193" s="11" t="s">
        <v>1421</v>
      </c>
      <c r="C193" s="11" t="s">
        <v>1422</v>
      </c>
      <c r="D193" s="11" t="s">
        <v>1423</v>
      </c>
      <c r="E193" s="21" t="s">
        <v>1424</v>
      </c>
      <c r="F193" s="11">
        <v>201.0</v>
      </c>
      <c r="G193" s="11">
        <v>2.79</v>
      </c>
      <c r="H193" s="11" t="s">
        <v>49</v>
      </c>
      <c r="I193" s="11" t="s">
        <v>82</v>
      </c>
      <c r="J193" s="11" t="s">
        <v>36</v>
      </c>
      <c r="K193" s="11" t="s">
        <v>207</v>
      </c>
      <c r="L193" s="11" t="s">
        <v>148</v>
      </c>
      <c r="M193" s="11" t="s">
        <v>132</v>
      </c>
      <c r="N193" s="11" t="s">
        <v>85</v>
      </c>
      <c r="O193" s="11" t="s">
        <v>54</v>
      </c>
      <c r="P193" s="11" t="s">
        <v>73</v>
      </c>
      <c r="Q193" s="11" t="s">
        <v>56</v>
      </c>
      <c r="R193" s="11" t="s">
        <v>219</v>
      </c>
    </row>
    <row r="194">
      <c r="A194" s="10">
        <v>46177.86873945602</v>
      </c>
      <c r="B194" s="11" t="s">
        <v>286</v>
      </c>
      <c r="C194" s="11" t="s">
        <v>278</v>
      </c>
      <c r="D194" s="11" t="s">
        <v>284</v>
      </c>
      <c r="F194" s="11">
        <v>195.0</v>
      </c>
      <c r="G194" s="11">
        <v>3.011</v>
      </c>
      <c r="H194" s="11" t="s">
        <v>49</v>
      </c>
      <c r="I194" s="11" t="s">
        <v>82</v>
      </c>
      <c r="J194" s="11" t="s">
        <v>83</v>
      </c>
      <c r="K194" s="11" t="s">
        <v>55</v>
      </c>
      <c r="L194" s="11" t="s">
        <v>36</v>
      </c>
      <c r="M194" s="11" t="s">
        <v>132</v>
      </c>
      <c r="N194" s="11" t="s">
        <v>289</v>
      </c>
      <c r="O194" s="11" t="s">
        <v>85</v>
      </c>
      <c r="P194" s="11" t="s">
        <v>293</v>
      </c>
      <c r="Q194" s="11" t="s">
        <v>225</v>
      </c>
      <c r="R194" s="11" t="s">
        <v>52</v>
      </c>
    </row>
    <row r="195">
      <c r="A195" s="10">
        <v>46195.73973339121</v>
      </c>
      <c r="B195" s="11" t="s">
        <v>498</v>
      </c>
      <c r="C195" s="11" t="s">
        <v>496</v>
      </c>
      <c r="D195" s="11" t="s">
        <v>497</v>
      </c>
      <c r="E195" s="21" t="s">
        <v>1425</v>
      </c>
      <c r="F195" s="11">
        <v>189.0</v>
      </c>
      <c r="G195" s="11">
        <v>2.879</v>
      </c>
      <c r="H195" s="11" t="s">
        <v>49</v>
      </c>
      <c r="I195" s="11" t="s">
        <v>82</v>
      </c>
      <c r="J195" s="11" t="s">
        <v>54</v>
      </c>
      <c r="K195" s="11" t="s">
        <v>52</v>
      </c>
      <c r="L195" s="11" t="s">
        <v>83</v>
      </c>
      <c r="M195" s="11" t="s">
        <v>60</v>
      </c>
      <c r="N195" s="11" t="s">
        <v>36</v>
      </c>
      <c r="O195" s="11" t="s">
        <v>273</v>
      </c>
      <c r="P195" s="11" t="s">
        <v>235</v>
      </c>
      <c r="Q195" s="11" t="s">
        <v>364</v>
      </c>
      <c r="R195" s="11" t="s">
        <v>56</v>
      </c>
    </row>
    <row r="196">
      <c r="A196" s="10">
        <v>46195.64129568287</v>
      </c>
      <c r="B196" s="11" t="s">
        <v>1426</v>
      </c>
      <c r="C196" s="11" t="s">
        <v>296</v>
      </c>
      <c r="D196" s="11" t="s">
        <v>1427</v>
      </c>
      <c r="E196" s="21" t="s">
        <v>1428</v>
      </c>
      <c r="F196" s="11">
        <v>185.0</v>
      </c>
      <c r="G196" s="11">
        <v>3.54</v>
      </c>
      <c r="H196" s="11" t="s">
        <v>49</v>
      </c>
      <c r="I196" s="11" t="s">
        <v>82</v>
      </c>
      <c r="J196" s="11" t="s">
        <v>54</v>
      </c>
      <c r="K196" s="11" t="s">
        <v>59</v>
      </c>
      <c r="L196" s="11" t="s">
        <v>60</v>
      </c>
      <c r="M196" s="11" t="s">
        <v>56</v>
      </c>
      <c r="N196" s="11" t="s">
        <v>80</v>
      </c>
      <c r="O196" s="11" t="s">
        <v>83</v>
      </c>
      <c r="P196" s="11" t="s">
        <v>36</v>
      </c>
      <c r="Q196" s="11" t="s">
        <v>166</v>
      </c>
      <c r="R196" s="11" t="s">
        <v>110</v>
      </c>
    </row>
    <row r="197">
      <c r="A197" s="10">
        <v>46193.81575356481</v>
      </c>
      <c r="B197" s="11" t="s">
        <v>948</v>
      </c>
      <c r="C197" s="11" t="s">
        <v>299</v>
      </c>
      <c r="D197" s="11" t="s">
        <v>947</v>
      </c>
      <c r="F197" s="11">
        <v>185.0</v>
      </c>
      <c r="G197" s="11">
        <v>3.652</v>
      </c>
      <c r="H197" s="11" t="s">
        <v>49</v>
      </c>
      <c r="I197" s="11" t="s">
        <v>82</v>
      </c>
      <c r="J197" s="11" t="s">
        <v>336</v>
      </c>
      <c r="K197" s="11" t="s">
        <v>36</v>
      </c>
      <c r="L197" s="11" t="s">
        <v>51</v>
      </c>
      <c r="M197" s="11" t="s">
        <v>293</v>
      </c>
    </row>
    <row r="198">
      <c r="A198" s="10">
        <v>46190.39957648148</v>
      </c>
      <c r="B198" s="11" t="s">
        <v>1429</v>
      </c>
      <c r="C198" s="11" t="s">
        <v>295</v>
      </c>
      <c r="D198" s="11" t="s">
        <v>1430</v>
      </c>
      <c r="E198" s="21" t="s">
        <v>1431</v>
      </c>
      <c r="F198" s="11">
        <v>173.5</v>
      </c>
      <c r="G198" s="11">
        <v>3.457</v>
      </c>
      <c r="H198" s="11" t="s">
        <v>49</v>
      </c>
      <c r="I198" s="11" t="s">
        <v>82</v>
      </c>
      <c r="J198" s="11" t="s">
        <v>53</v>
      </c>
      <c r="K198" s="11" t="s">
        <v>54</v>
      </c>
      <c r="L198" s="11" t="s">
        <v>364</v>
      </c>
      <c r="M198" s="11" t="s">
        <v>323</v>
      </c>
      <c r="N198" s="11" t="s">
        <v>291</v>
      </c>
      <c r="O198" s="11" t="s">
        <v>83</v>
      </c>
      <c r="P198" s="11" t="s">
        <v>59</v>
      </c>
      <c r="Q198" s="11" t="s">
        <v>145</v>
      </c>
      <c r="R198" s="11" t="s">
        <v>36</v>
      </c>
    </row>
    <row r="199">
      <c r="A199" s="10">
        <v>46194.69766230324</v>
      </c>
      <c r="B199" s="11" t="s">
        <v>1275</v>
      </c>
      <c r="C199" s="11" t="s">
        <v>298</v>
      </c>
      <c r="D199" s="11" t="s">
        <v>1274</v>
      </c>
      <c r="E199" s="21" t="s">
        <v>1432</v>
      </c>
      <c r="F199" s="11">
        <v>152.0</v>
      </c>
      <c r="G199" s="11">
        <v>3.76</v>
      </c>
      <c r="H199" s="11" t="s">
        <v>49</v>
      </c>
      <c r="I199" s="11" t="s">
        <v>82</v>
      </c>
      <c r="J199" s="11" t="s">
        <v>54</v>
      </c>
      <c r="K199" s="11" t="s">
        <v>51</v>
      </c>
      <c r="L199" s="11" t="s">
        <v>336</v>
      </c>
      <c r="M199" s="11" t="s">
        <v>169</v>
      </c>
      <c r="N199" s="11" t="s">
        <v>293</v>
      </c>
      <c r="O199" s="11" t="s">
        <v>83</v>
      </c>
      <c r="P199" s="11" t="s">
        <v>56</v>
      </c>
      <c r="Q199" s="11" t="s">
        <v>197</v>
      </c>
      <c r="R199" s="11" t="s">
        <v>36</v>
      </c>
    </row>
    <row r="200">
      <c r="A200" s="10">
        <v>46195.5913235301</v>
      </c>
      <c r="B200" s="11" t="s">
        <v>1433</v>
      </c>
      <c r="C200" s="11" t="s">
        <v>1434</v>
      </c>
      <c r="D200" s="11" t="s">
        <v>1435</v>
      </c>
      <c r="E200" s="21" t="s">
        <v>1436</v>
      </c>
      <c r="F200" s="11">
        <v>168.0</v>
      </c>
      <c r="G200" s="11">
        <v>3.618</v>
      </c>
      <c r="H200" s="11" t="s">
        <v>49</v>
      </c>
      <c r="I200" s="11" t="s">
        <v>235</v>
      </c>
      <c r="J200" s="11" t="s">
        <v>132</v>
      </c>
      <c r="K200" s="11" t="s">
        <v>336</v>
      </c>
      <c r="L200" s="11" t="s">
        <v>293</v>
      </c>
      <c r="M200" s="11" t="s">
        <v>289</v>
      </c>
      <c r="N200" s="11" t="s">
        <v>51</v>
      </c>
      <c r="O200" s="11" t="s">
        <v>82</v>
      </c>
      <c r="P200" s="11" t="s">
        <v>291</v>
      </c>
      <c r="Q200" s="11" t="s">
        <v>53</v>
      </c>
      <c r="R200" s="11" t="s">
        <v>54</v>
      </c>
    </row>
    <row r="201">
      <c r="A201" s="10">
        <v>46194.89829174768</v>
      </c>
      <c r="B201" s="11" t="s">
        <v>1244</v>
      </c>
      <c r="C201" s="11" t="s">
        <v>1241</v>
      </c>
      <c r="D201" s="11" t="s">
        <v>1243</v>
      </c>
      <c r="E201" s="21" t="s">
        <v>1437</v>
      </c>
      <c r="F201" s="11">
        <v>344.0</v>
      </c>
      <c r="G201" s="11">
        <v>3.523</v>
      </c>
      <c r="H201" s="11" t="s">
        <v>49</v>
      </c>
      <c r="I201" s="11" t="s">
        <v>54</v>
      </c>
      <c r="J201" s="11" t="s">
        <v>364</v>
      </c>
      <c r="K201" s="11" t="s">
        <v>52</v>
      </c>
      <c r="L201" s="11" t="s">
        <v>70</v>
      </c>
      <c r="M201" s="11" t="s">
        <v>55</v>
      </c>
      <c r="N201" s="11" t="s">
        <v>60</v>
      </c>
      <c r="O201" s="11" t="s">
        <v>145</v>
      </c>
      <c r="P201" s="11" t="s">
        <v>51</v>
      </c>
      <c r="Q201" s="11" t="s">
        <v>171</v>
      </c>
      <c r="R201" s="11" t="s">
        <v>58</v>
      </c>
    </row>
    <row r="202">
      <c r="A202" s="10">
        <v>46195.02894820602</v>
      </c>
      <c r="B202" s="11" t="s">
        <v>459</v>
      </c>
      <c r="C202" s="11" t="s">
        <v>316</v>
      </c>
      <c r="D202" s="11" t="s">
        <v>458</v>
      </c>
      <c r="E202" s="21" t="s">
        <v>1438</v>
      </c>
      <c r="F202" s="11">
        <v>265.0</v>
      </c>
      <c r="G202" s="11">
        <v>3.664</v>
      </c>
      <c r="H202" s="11" t="s">
        <v>49</v>
      </c>
      <c r="I202" s="11" t="s">
        <v>54</v>
      </c>
      <c r="J202" s="11" t="s">
        <v>52</v>
      </c>
      <c r="K202" s="11" t="s">
        <v>53</v>
      </c>
      <c r="L202" s="11" t="s">
        <v>336</v>
      </c>
      <c r="M202" s="11" t="s">
        <v>36</v>
      </c>
      <c r="N202" s="11" t="s">
        <v>59</v>
      </c>
      <c r="O202" s="11" t="s">
        <v>364</v>
      </c>
      <c r="P202" s="11" t="s">
        <v>60</v>
      </c>
      <c r="Q202" s="11" t="s">
        <v>58</v>
      </c>
      <c r="R202" s="11" t="s">
        <v>82</v>
      </c>
    </row>
    <row r="203">
      <c r="A203" s="10">
        <v>46195.9678447801</v>
      </c>
      <c r="B203" s="11" t="s">
        <v>1325</v>
      </c>
      <c r="C203" s="11" t="s">
        <v>312</v>
      </c>
      <c r="D203" s="11" t="s">
        <v>1324</v>
      </c>
      <c r="E203" s="21" t="s">
        <v>1439</v>
      </c>
      <c r="F203" s="11">
        <v>245.0</v>
      </c>
      <c r="G203" s="11">
        <v>3.874</v>
      </c>
      <c r="H203" s="11" t="s">
        <v>49</v>
      </c>
      <c r="I203" s="11" t="s">
        <v>54</v>
      </c>
      <c r="J203" s="11" t="s">
        <v>53</v>
      </c>
      <c r="K203" s="11" t="s">
        <v>235</v>
      </c>
      <c r="L203" s="11" t="s">
        <v>341</v>
      </c>
      <c r="M203" s="11" t="s">
        <v>36</v>
      </c>
      <c r="N203" s="11" t="s">
        <v>66</v>
      </c>
      <c r="O203" s="11" t="s">
        <v>109</v>
      </c>
      <c r="P203" s="11" t="s">
        <v>336</v>
      </c>
      <c r="Q203" s="11" t="s">
        <v>51</v>
      </c>
      <c r="R203" s="11" t="s">
        <v>80</v>
      </c>
    </row>
    <row r="204">
      <c r="A204" s="10">
        <v>46195.68017511574</v>
      </c>
      <c r="B204" s="11" t="s">
        <v>675</v>
      </c>
      <c r="C204" s="11" t="s">
        <v>670</v>
      </c>
      <c r="D204" s="11" t="s">
        <v>674</v>
      </c>
      <c r="E204" s="21" t="s">
        <v>1440</v>
      </c>
      <c r="F204" s="11">
        <v>234.0</v>
      </c>
      <c r="G204" s="11">
        <v>3.27</v>
      </c>
      <c r="H204" s="11" t="s">
        <v>49</v>
      </c>
      <c r="I204" s="11" t="s">
        <v>54</v>
      </c>
      <c r="J204" s="11" t="s">
        <v>53</v>
      </c>
      <c r="K204" s="11" t="s">
        <v>83</v>
      </c>
      <c r="L204" s="11" t="s">
        <v>52</v>
      </c>
      <c r="M204" s="11" t="s">
        <v>364</v>
      </c>
      <c r="N204" s="11" t="s">
        <v>59</v>
      </c>
      <c r="O204" s="11" t="s">
        <v>51</v>
      </c>
      <c r="P204" s="11" t="s">
        <v>293</v>
      </c>
      <c r="Q204" s="11" t="s">
        <v>56</v>
      </c>
      <c r="R204" s="11" t="s">
        <v>145</v>
      </c>
    </row>
    <row r="205">
      <c r="A205" s="10">
        <v>46195.89107320602</v>
      </c>
      <c r="B205" s="11" t="s">
        <v>1186</v>
      </c>
      <c r="C205" s="11" t="s">
        <v>311</v>
      </c>
      <c r="D205" s="11" t="s">
        <v>1185</v>
      </c>
      <c r="E205" s="21" t="s">
        <v>1441</v>
      </c>
      <c r="F205" s="11">
        <v>228.5</v>
      </c>
      <c r="G205" s="11">
        <v>3.936</v>
      </c>
      <c r="H205" s="11" t="s">
        <v>49</v>
      </c>
      <c r="I205" s="11" t="s">
        <v>54</v>
      </c>
      <c r="J205" s="11" t="s">
        <v>52</v>
      </c>
      <c r="K205" s="11" t="s">
        <v>166</v>
      </c>
      <c r="L205" s="11" t="s">
        <v>145</v>
      </c>
      <c r="M205" s="11" t="s">
        <v>336</v>
      </c>
      <c r="N205" s="11" t="s">
        <v>36</v>
      </c>
      <c r="O205" s="11" t="s">
        <v>191</v>
      </c>
      <c r="P205" s="11" t="s">
        <v>105</v>
      </c>
      <c r="Q205" s="11" t="s">
        <v>80</v>
      </c>
      <c r="R205" s="11" t="s">
        <v>273</v>
      </c>
    </row>
    <row r="206">
      <c r="A206" s="10">
        <v>46190.616835925925</v>
      </c>
      <c r="B206" s="11" t="s">
        <v>1442</v>
      </c>
      <c r="C206" s="11" t="s">
        <v>1443</v>
      </c>
      <c r="D206" s="11" t="s">
        <v>1444</v>
      </c>
      <c r="E206" s="21" t="s">
        <v>1445</v>
      </c>
      <c r="F206" s="11">
        <v>219.5</v>
      </c>
      <c r="G206" s="11">
        <v>3.485</v>
      </c>
      <c r="H206" s="11" t="s">
        <v>49</v>
      </c>
      <c r="I206" s="11" t="s">
        <v>54</v>
      </c>
      <c r="J206" s="11" t="s">
        <v>51</v>
      </c>
      <c r="K206" s="11" t="s">
        <v>36</v>
      </c>
      <c r="L206" s="11" t="s">
        <v>197</v>
      </c>
      <c r="M206" s="11" t="s">
        <v>225</v>
      </c>
      <c r="N206" s="11" t="s">
        <v>56</v>
      </c>
      <c r="O206" s="11" t="s">
        <v>235</v>
      </c>
      <c r="P206" s="11" t="s">
        <v>273</v>
      </c>
      <c r="Q206" s="11" t="s">
        <v>82</v>
      </c>
      <c r="R206" s="11" t="s">
        <v>83</v>
      </c>
    </row>
    <row r="207">
      <c r="A207" s="10">
        <v>46191.716063182874</v>
      </c>
      <c r="B207" s="11" t="s">
        <v>656</v>
      </c>
      <c r="C207" s="11" t="s">
        <v>652</v>
      </c>
      <c r="D207" s="11" t="s">
        <v>654</v>
      </c>
      <c r="E207" s="21" t="s">
        <v>1446</v>
      </c>
      <c r="F207" s="11">
        <v>209.0</v>
      </c>
      <c r="G207" s="11">
        <v>2.96</v>
      </c>
      <c r="H207" s="11" t="s">
        <v>49</v>
      </c>
      <c r="I207" s="11" t="s">
        <v>54</v>
      </c>
      <c r="J207" s="11" t="s">
        <v>36</v>
      </c>
      <c r="K207" s="11" t="s">
        <v>60</v>
      </c>
      <c r="L207" s="11" t="s">
        <v>53</v>
      </c>
      <c r="M207" s="11" t="s">
        <v>56</v>
      </c>
      <c r="N207" s="11" t="s">
        <v>59</v>
      </c>
      <c r="O207" s="11" t="s">
        <v>51</v>
      </c>
      <c r="P207" s="11" t="s">
        <v>52</v>
      </c>
      <c r="Q207" s="11" t="s">
        <v>58</v>
      </c>
      <c r="R207" s="11" t="s">
        <v>145</v>
      </c>
    </row>
    <row r="208">
      <c r="A208" s="10">
        <v>46195.09550729167</v>
      </c>
      <c r="B208" s="11" t="s">
        <v>1451</v>
      </c>
      <c r="C208" s="11" t="s">
        <v>317</v>
      </c>
      <c r="D208" s="11" t="s">
        <v>1452</v>
      </c>
      <c r="E208" s="21" t="s">
        <v>1453</v>
      </c>
      <c r="F208" s="11">
        <v>202.5</v>
      </c>
      <c r="G208" s="11">
        <v>3.61</v>
      </c>
      <c r="H208" s="11" t="s">
        <v>49</v>
      </c>
      <c r="I208" s="11" t="s">
        <v>54</v>
      </c>
      <c r="J208" s="11" t="s">
        <v>36</v>
      </c>
      <c r="K208" s="11" t="s">
        <v>53</v>
      </c>
      <c r="L208" s="11" t="s">
        <v>52</v>
      </c>
      <c r="M208" s="11" t="s">
        <v>364</v>
      </c>
      <c r="N208" s="11" t="s">
        <v>51</v>
      </c>
      <c r="O208" s="11" t="s">
        <v>59</v>
      </c>
      <c r="P208" s="11" t="s">
        <v>55</v>
      </c>
      <c r="Q208" s="11" t="s">
        <v>145</v>
      </c>
      <c r="R208" s="11" t="s">
        <v>293</v>
      </c>
    </row>
    <row r="209">
      <c r="A209" s="10">
        <v>46191.20629259259</v>
      </c>
      <c r="B209" s="11" t="s">
        <v>760</v>
      </c>
      <c r="C209" s="11" t="s">
        <v>254</v>
      </c>
      <c r="D209" s="11" t="s">
        <v>759</v>
      </c>
      <c r="E209" s="21" t="s">
        <v>1454</v>
      </c>
      <c r="F209" s="11">
        <v>198.0</v>
      </c>
      <c r="G209" s="11">
        <v>3.58</v>
      </c>
      <c r="H209" s="11" t="s">
        <v>49</v>
      </c>
      <c r="I209" s="11" t="s">
        <v>54</v>
      </c>
      <c r="J209" s="11" t="s">
        <v>83</v>
      </c>
      <c r="K209" s="11" t="s">
        <v>207</v>
      </c>
      <c r="L209" s="11" t="s">
        <v>82</v>
      </c>
      <c r="M209" s="11" t="s">
        <v>53</v>
      </c>
      <c r="N209" s="11" t="s">
        <v>85</v>
      </c>
      <c r="O209" s="11" t="s">
        <v>225</v>
      </c>
      <c r="P209" s="11" t="s">
        <v>291</v>
      </c>
      <c r="Q209" s="11" t="s">
        <v>51</v>
      </c>
      <c r="R209" s="11" t="s">
        <v>36</v>
      </c>
    </row>
    <row r="210">
      <c r="A210" s="10">
        <v>46191.62932417824</v>
      </c>
      <c r="B210" s="11" t="s">
        <v>755</v>
      </c>
      <c r="C210" s="11" t="s">
        <v>753</v>
      </c>
      <c r="D210" s="11" t="s">
        <v>754</v>
      </c>
      <c r="E210" s="21" t="s">
        <v>1455</v>
      </c>
      <c r="F210" s="11">
        <v>193.0</v>
      </c>
      <c r="G210" s="11">
        <v>3.6</v>
      </c>
      <c r="H210" s="11" t="s">
        <v>49</v>
      </c>
      <c r="I210" s="11" t="s">
        <v>54</v>
      </c>
      <c r="J210" s="11" t="s">
        <v>52</v>
      </c>
      <c r="K210" s="11" t="s">
        <v>364</v>
      </c>
      <c r="L210" s="11" t="s">
        <v>51</v>
      </c>
      <c r="M210" s="11" t="s">
        <v>293</v>
      </c>
      <c r="N210" s="11" t="s">
        <v>60</v>
      </c>
      <c r="O210" s="11" t="s">
        <v>53</v>
      </c>
      <c r="P210" s="11" t="s">
        <v>36</v>
      </c>
      <c r="Q210" s="11" t="s">
        <v>58</v>
      </c>
      <c r="R210" s="11" t="s">
        <v>82</v>
      </c>
    </row>
    <row r="211">
      <c r="A211" s="10">
        <v>46181.91393138889</v>
      </c>
      <c r="B211" s="11" t="s">
        <v>629</v>
      </c>
      <c r="C211" s="11" t="s">
        <v>627</v>
      </c>
      <c r="D211" s="11" t="s">
        <v>628</v>
      </c>
      <c r="E211" s="21" t="s">
        <v>1462</v>
      </c>
      <c r="F211" s="11">
        <v>188.0</v>
      </c>
      <c r="G211" s="11">
        <v>3.36</v>
      </c>
      <c r="H211" s="11" t="s">
        <v>49</v>
      </c>
      <c r="I211" s="11" t="s">
        <v>54</v>
      </c>
      <c r="J211" s="11" t="s">
        <v>58</v>
      </c>
      <c r="K211" s="11" t="s">
        <v>60</v>
      </c>
      <c r="L211" s="11" t="s">
        <v>51</v>
      </c>
      <c r="M211" s="11" t="s">
        <v>59</v>
      </c>
      <c r="N211" s="11" t="s">
        <v>52</v>
      </c>
      <c r="O211" s="11" t="s">
        <v>145</v>
      </c>
      <c r="P211" s="11" t="s">
        <v>83</v>
      </c>
      <c r="Q211" s="11" t="s">
        <v>36</v>
      </c>
      <c r="R211" s="11" t="s">
        <v>82</v>
      </c>
    </row>
    <row r="212">
      <c r="A212" s="10">
        <v>46192.69894699074</v>
      </c>
      <c r="B212" s="11" t="s">
        <v>1466</v>
      </c>
      <c r="C212" s="11" t="s">
        <v>313</v>
      </c>
      <c r="D212" s="11" t="s">
        <v>1467</v>
      </c>
      <c r="E212" s="21" t="s">
        <v>1468</v>
      </c>
      <c r="F212" s="11">
        <v>185.0</v>
      </c>
      <c r="G212" s="11">
        <v>3.778</v>
      </c>
      <c r="H212" s="11" t="s">
        <v>49</v>
      </c>
      <c r="I212" s="11" t="s">
        <v>54</v>
      </c>
      <c r="J212" s="11" t="s">
        <v>51</v>
      </c>
      <c r="K212" s="11" t="s">
        <v>52</v>
      </c>
      <c r="L212" s="11" t="s">
        <v>70</v>
      </c>
      <c r="M212" s="11" t="s">
        <v>364</v>
      </c>
      <c r="N212" s="11" t="s">
        <v>55</v>
      </c>
      <c r="O212" s="11" t="s">
        <v>289</v>
      </c>
      <c r="P212" s="11" t="s">
        <v>59</v>
      </c>
      <c r="Q212" s="11" t="s">
        <v>36</v>
      </c>
      <c r="R212" s="11" t="s">
        <v>59</v>
      </c>
    </row>
    <row r="213">
      <c r="A213" s="10">
        <v>46191.39740231482</v>
      </c>
      <c r="B213" s="11" t="s">
        <v>1472</v>
      </c>
      <c r="C213" s="11" t="s">
        <v>1473</v>
      </c>
      <c r="D213" s="11" t="s">
        <v>1474</v>
      </c>
      <c r="E213" s="21" t="s">
        <v>1475</v>
      </c>
      <c r="F213" s="11">
        <v>185.0</v>
      </c>
      <c r="G213" s="11">
        <v>3.42</v>
      </c>
      <c r="H213" s="11" t="s">
        <v>49</v>
      </c>
      <c r="I213" s="11" t="s">
        <v>54</v>
      </c>
      <c r="J213" s="11" t="s">
        <v>36</v>
      </c>
      <c r="K213" s="11" t="s">
        <v>52</v>
      </c>
      <c r="L213" s="11" t="s">
        <v>51</v>
      </c>
      <c r="M213" s="11" t="s">
        <v>53</v>
      </c>
      <c r="N213" s="11" t="s">
        <v>145</v>
      </c>
      <c r="O213" s="11" t="s">
        <v>293</v>
      </c>
      <c r="P213" s="11" t="s">
        <v>197</v>
      </c>
      <c r="Q213" s="11" t="s">
        <v>207</v>
      </c>
      <c r="R213" s="11" t="s">
        <v>82</v>
      </c>
    </row>
    <row r="214">
      <c r="A214" s="10">
        <v>46195.07096700231</v>
      </c>
      <c r="B214" s="11" t="s">
        <v>716</v>
      </c>
      <c r="C214" s="11" t="s">
        <v>285</v>
      </c>
      <c r="D214" s="11" t="s">
        <v>715</v>
      </c>
      <c r="E214" s="21" t="s">
        <v>1485</v>
      </c>
      <c r="F214" s="11">
        <v>182.0</v>
      </c>
      <c r="G214" s="11">
        <v>3.92</v>
      </c>
      <c r="H214" s="11" t="s">
        <v>49</v>
      </c>
      <c r="I214" s="11" t="s">
        <v>54</v>
      </c>
      <c r="J214" s="11" t="s">
        <v>53</v>
      </c>
      <c r="K214" s="11" t="s">
        <v>34</v>
      </c>
      <c r="L214" s="11" t="s">
        <v>291</v>
      </c>
      <c r="M214" s="11" t="s">
        <v>36</v>
      </c>
      <c r="N214" s="11" t="s">
        <v>132</v>
      </c>
      <c r="O214" s="11" t="s">
        <v>55</v>
      </c>
      <c r="P214" s="11" t="s">
        <v>289</v>
      </c>
      <c r="Q214" s="11" t="s">
        <v>82</v>
      </c>
      <c r="R214" s="11" t="s">
        <v>59</v>
      </c>
    </row>
    <row r="215">
      <c r="A215" s="10">
        <v>46195.94979658565</v>
      </c>
      <c r="B215" s="11" t="s">
        <v>1249</v>
      </c>
      <c r="C215" s="11" t="s">
        <v>202</v>
      </c>
      <c r="D215" s="11" t="s">
        <v>1248</v>
      </c>
      <c r="E215" s="21" t="s">
        <v>1490</v>
      </c>
      <c r="F215" s="11">
        <v>176.0</v>
      </c>
      <c r="G215" s="11">
        <v>3.84</v>
      </c>
      <c r="H215" s="11" t="s">
        <v>49</v>
      </c>
      <c r="I215" s="11" t="s">
        <v>54</v>
      </c>
      <c r="J215" s="11" t="s">
        <v>36</v>
      </c>
      <c r="K215" s="11" t="s">
        <v>166</v>
      </c>
      <c r="L215" s="11" t="s">
        <v>55</v>
      </c>
      <c r="M215" s="11" t="s">
        <v>59</v>
      </c>
      <c r="N215" s="11" t="s">
        <v>291</v>
      </c>
      <c r="O215" s="11" t="s">
        <v>105</v>
      </c>
      <c r="P215" s="11" t="s">
        <v>51</v>
      </c>
      <c r="Q215" s="11" t="s">
        <v>52</v>
      </c>
      <c r="R215" s="11" t="s">
        <v>53</v>
      </c>
    </row>
    <row r="216">
      <c r="A216" s="10">
        <v>46193.78630939814</v>
      </c>
      <c r="B216" s="11" t="s">
        <v>1217</v>
      </c>
      <c r="C216" s="11" t="s">
        <v>309</v>
      </c>
      <c r="D216" s="11" t="s">
        <v>1216</v>
      </c>
      <c r="E216" s="21" t="s">
        <v>1494</v>
      </c>
      <c r="F216" s="11">
        <v>175.0</v>
      </c>
      <c r="G216" s="11">
        <v>4.0</v>
      </c>
      <c r="H216" s="11" t="s">
        <v>49</v>
      </c>
      <c r="I216" s="11" t="s">
        <v>54</v>
      </c>
      <c r="J216" s="11" t="s">
        <v>191</v>
      </c>
      <c r="K216" s="11" t="s">
        <v>225</v>
      </c>
      <c r="L216" s="11" t="s">
        <v>364</v>
      </c>
      <c r="M216" s="11" t="s">
        <v>53</v>
      </c>
      <c r="N216" s="11" t="s">
        <v>52</v>
      </c>
      <c r="O216" s="11" t="s">
        <v>85</v>
      </c>
      <c r="P216" s="11" t="s">
        <v>166</v>
      </c>
      <c r="Q216" s="11" t="s">
        <v>55</v>
      </c>
      <c r="R216" s="11" t="s">
        <v>36</v>
      </c>
    </row>
    <row r="217">
      <c r="A217" s="10">
        <v>46191.61359508102</v>
      </c>
      <c r="B217" s="11" t="s">
        <v>520</v>
      </c>
      <c r="C217" s="11" t="s">
        <v>318</v>
      </c>
      <c r="D217" s="11" t="s">
        <v>519</v>
      </c>
      <c r="E217" s="21" t="s">
        <v>1498</v>
      </c>
      <c r="F217" s="11">
        <v>172.0</v>
      </c>
      <c r="G217" s="11">
        <v>3.574</v>
      </c>
      <c r="H217" s="11" t="s">
        <v>49</v>
      </c>
      <c r="I217" s="11" t="s">
        <v>54</v>
      </c>
      <c r="J217" s="11" t="s">
        <v>235</v>
      </c>
      <c r="K217" s="11" t="s">
        <v>219</v>
      </c>
      <c r="L217" s="11" t="s">
        <v>207</v>
      </c>
      <c r="M217" s="11" t="s">
        <v>83</v>
      </c>
      <c r="N217" s="11" t="s">
        <v>132</v>
      </c>
      <c r="O217" s="11" t="s">
        <v>291</v>
      </c>
      <c r="P217" s="11" t="s">
        <v>82</v>
      </c>
      <c r="Q217" s="11" t="s">
        <v>85</v>
      </c>
      <c r="R217" s="11" t="s">
        <v>341</v>
      </c>
    </row>
    <row r="218">
      <c r="A218" s="10">
        <v>46186.69599931713</v>
      </c>
      <c r="B218" s="11" t="s">
        <v>1465</v>
      </c>
      <c r="C218" s="11" t="s">
        <v>314</v>
      </c>
      <c r="D218" s="11" t="s">
        <v>1464</v>
      </c>
      <c r="E218" s="21" t="s">
        <v>1501</v>
      </c>
      <c r="F218" s="11">
        <v>171.0</v>
      </c>
      <c r="G218" s="11">
        <v>3.68</v>
      </c>
      <c r="H218" s="11" t="s">
        <v>49</v>
      </c>
      <c r="I218" s="11" t="s">
        <v>54</v>
      </c>
      <c r="J218" s="11" t="s">
        <v>51</v>
      </c>
      <c r="K218" s="11" t="s">
        <v>52</v>
      </c>
      <c r="L218" s="11" t="s">
        <v>336</v>
      </c>
      <c r="M218" s="11" t="s">
        <v>197</v>
      </c>
      <c r="N218" s="11" t="s">
        <v>70</v>
      </c>
      <c r="O218" s="11" t="s">
        <v>364</v>
      </c>
      <c r="P218" s="11" t="s">
        <v>55</v>
      </c>
      <c r="Q218" s="11" t="s">
        <v>66</v>
      </c>
      <c r="R218" s="11" t="s">
        <v>293</v>
      </c>
    </row>
    <row r="219">
      <c r="A219" s="10">
        <v>46194.09552478009</v>
      </c>
      <c r="B219" s="11" t="s">
        <v>885</v>
      </c>
      <c r="C219" s="11" t="s">
        <v>96</v>
      </c>
      <c r="D219" s="11" t="s">
        <v>884</v>
      </c>
      <c r="E219" s="21" t="s">
        <v>1514</v>
      </c>
      <c r="F219" s="11">
        <v>165.0</v>
      </c>
      <c r="G219" s="11">
        <v>3.992</v>
      </c>
      <c r="H219" s="11" t="s">
        <v>49</v>
      </c>
      <c r="I219" s="11" t="s">
        <v>54</v>
      </c>
      <c r="J219" s="11" t="s">
        <v>52</v>
      </c>
      <c r="K219" s="11" t="s">
        <v>55</v>
      </c>
      <c r="L219" s="11" t="s">
        <v>145</v>
      </c>
      <c r="M219" s="11" t="s">
        <v>60</v>
      </c>
      <c r="N219" s="11" t="s">
        <v>53</v>
      </c>
      <c r="O219" s="11" t="s">
        <v>225</v>
      </c>
      <c r="P219" s="11" t="s">
        <v>59</v>
      </c>
      <c r="Q219" s="11" t="s">
        <v>36</v>
      </c>
      <c r="R219" s="11" t="s">
        <v>82</v>
      </c>
    </row>
    <row r="220">
      <c r="A220" s="10">
        <v>46195.97503793982</v>
      </c>
      <c r="B220" s="11" t="s">
        <v>256</v>
      </c>
      <c r="C220" s="11" t="s">
        <v>245</v>
      </c>
      <c r="D220" s="11" t="s">
        <v>255</v>
      </c>
      <c r="F220" s="11">
        <v>127.5</v>
      </c>
      <c r="G220" s="11">
        <v>3.5</v>
      </c>
      <c r="H220" s="11" t="s">
        <v>49</v>
      </c>
      <c r="I220" s="11" t="s">
        <v>54</v>
      </c>
      <c r="J220" s="11" t="s">
        <v>70</v>
      </c>
      <c r="K220" s="11" t="s">
        <v>145</v>
      </c>
      <c r="L220" s="11" t="s">
        <v>66</v>
      </c>
      <c r="M220" s="11" t="s">
        <v>59</v>
      </c>
      <c r="N220" s="11" t="s">
        <v>305</v>
      </c>
      <c r="O220" s="11" t="s">
        <v>53</v>
      </c>
      <c r="P220" s="11" t="s">
        <v>52</v>
      </c>
      <c r="Q220" s="11" t="s">
        <v>36</v>
      </c>
      <c r="R220" s="11" t="s">
        <v>51</v>
      </c>
    </row>
    <row r="221">
      <c r="A221" s="10">
        <v>46178.49397252315</v>
      </c>
      <c r="B221" s="11" t="s">
        <v>688</v>
      </c>
      <c r="C221" s="11" t="s">
        <v>248</v>
      </c>
      <c r="D221" s="11" t="s">
        <v>687</v>
      </c>
      <c r="E221" s="21" t="s">
        <v>1524</v>
      </c>
      <c r="F221" s="11">
        <v>179.0</v>
      </c>
      <c r="G221" s="11">
        <v>3.9</v>
      </c>
      <c r="H221" s="11" t="s">
        <v>49</v>
      </c>
      <c r="I221" s="11" t="s">
        <v>273</v>
      </c>
      <c r="J221" s="11" t="s">
        <v>207</v>
      </c>
      <c r="K221" s="11" t="s">
        <v>54</v>
      </c>
      <c r="L221" s="11" t="s">
        <v>83</v>
      </c>
      <c r="M221" s="11" t="s">
        <v>105</v>
      </c>
      <c r="N221" s="11" t="s">
        <v>197</v>
      </c>
      <c r="O221" s="11" t="s">
        <v>56</v>
      </c>
      <c r="P221" s="11" t="s">
        <v>169</v>
      </c>
    </row>
    <row r="222">
      <c r="A222" s="10">
        <v>46190.26793934028</v>
      </c>
      <c r="B222" s="11" t="s">
        <v>701</v>
      </c>
      <c r="C222" s="11" t="s">
        <v>252</v>
      </c>
      <c r="D222" s="11" t="s">
        <v>700</v>
      </c>
      <c r="E222" s="21" t="s">
        <v>1528</v>
      </c>
      <c r="F222" s="11">
        <v>140.0</v>
      </c>
      <c r="G222" s="11">
        <v>3.842</v>
      </c>
      <c r="H222" s="11" t="s">
        <v>49</v>
      </c>
      <c r="I222" s="11" t="s">
        <v>273</v>
      </c>
      <c r="J222" s="11" t="s">
        <v>197</v>
      </c>
      <c r="K222" s="11" t="s">
        <v>207</v>
      </c>
      <c r="L222" s="11" t="s">
        <v>83</v>
      </c>
      <c r="M222" s="11" t="s">
        <v>56</v>
      </c>
      <c r="N222" s="11" t="s">
        <v>105</v>
      </c>
      <c r="O222" s="11" t="s">
        <v>169</v>
      </c>
      <c r="P222" s="11" t="s">
        <v>54</v>
      </c>
    </row>
    <row r="223">
      <c r="A223" s="10">
        <v>46190.61759923611</v>
      </c>
      <c r="B223" s="11" t="s">
        <v>1397</v>
      </c>
      <c r="C223" s="11" t="s">
        <v>102</v>
      </c>
      <c r="D223" s="11" t="s">
        <v>1396</v>
      </c>
      <c r="E223" s="21" t="s">
        <v>1529</v>
      </c>
      <c r="F223" s="11">
        <v>218.0</v>
      </c>
      <c r="G223" s="11">
        <v>3.903</v>
      </c>
      <c r="H223" s="11" t="s">
        <v>49</v>
      </c>
      <c r="I223" s="11" t="s">
        <v>85</v>
      </c>
      <c r="J223" s="11" t="s">
        <v>80</v>
      </c>
      <c r="K223" s="11" t="s">
        <v>105</v>
      </c>
      <c r="L223" s="11" t="s">
        <v>55</v>
      </c>
      <c r="M223" s="11" t="s">
        <v>66</v>
      </c>
      <c r="N223" s="11" t="s">
        <v>219</v>
      </c>
      <c r="O223" s="11" t="s">
        <v>225</v>
      </c>
      <c r="P223" s="11" t="s">
        <v>54</v>
      </c>
      <c r="Q223" s="11" t="s">
        <v>132</v>
      </c>
      <c r="R223" s="11" t="s">
        <v>291</v>
      </c>
    </row>
    <row r="224">
      <c r="A224" s="10">
        <v>46192.03448934028</v>
      </c>
      <c r="B224" s="11" t="s">
        <v>432</v>
      </c>
      <c r="C224" s="11" t="s">
        <v>340</v>
      </c>
      <c r="D224" s="11" t="s">
        <v>431</v>
      </c>
      <c r="E224" s="21" t="s">
        <v>1530</v>
      </c>
      <c r="F224" s="11">
        <v>215.0</v>
      </c>
      <c r="G224" s="11">
        <v>3.4</v>
      </c>
      <c r="H224" s="11" t="s">
        <v>49</v>
      </c>
      <c r="I224" s="11" t="s">
        <v>85</v>
      </c>
      <c r="J224" s="11" t="s">
        <v>291</v>
      </c>
      <c r="K224" s="11" t="s">
        <v>34</v>
      </c>
      <c r="L224" s="11" t="s">
        <v>293</v>
      </c>
      <c r="M224" s="11" t="s">
        <v>132</v>
      </c>
      <c r="N224" s="11" t="s">
        <v>346</v>
      </c>
      <c r="O224" s="11" t="s">
        <v>191</v>
      </c>
      <c r="P224" s="11" t="s">
        <v>53</v>
      </c>
      <c r="Q224" s="11" t="s">
        <v>341</v>
      </c>
      <c r="R224" s="11" t="s">
        <v>80</v>
      </c>
    </row>
    <row r="225">
      <c r="A225" s="10">
        <v>46192.37154373842</v>
      </c>
      <c r="B225" s="11" t="s">
        <v>559</v>
      </c>
      <c r="C225" s="11" t="s">
        <v>554</v>
      </c>
      <c r="D225" s="11" t="s">
        <v>558</v>
      </c>
      <c r="E225" s="21" t="s">
        <v>1531</v>
      </c>
      <c r="F225" s="11">
        <v>138.0</v>
      </c>
      <c r="G225" s="11">
        <v>3.278</v>
      </c>
      <c r="H225" s="11" t="s">
        <v>49</v>
      </c>
      <c r="I225" s="11" t="s">
        <v>289</v>
      </c>
      <c r="J225" s="11" t="s">
        <v>219</v>
      </c>
      <c r="K225" s="11" t="s">
        <v>293</v>
      </c>
      <c r="L225" s="11" t="s">
        <v>235</v>
      </c>
      <c r="M225" s="11" t="s">
        <v>336</v>
      </c>
      <c r="N225" s="11" t="s">
        <v>291</v>
      </c>
      <c r="O225" s="11" t="s">
        <v>105</v>
      </c>
      <c r="P225" s="11" t="s">
        <v>341</v>
      </c>
      <c r="Q225" s="11" t="s">
        <v>132</v>
      </c>
      <c r="R225" s="11" t="s">
        <v>34</v>
      </c>
    </row>
    <row r="226">
      <c r="A226" s="10">
        <v>46190.53007129629</v>
      </c>
      <c r="B226" s="11" t="s">
        <v>495</v>
      </c>
      <c r="C226" s="11" t="s">
        <v>489</v>
      </c>
      <c r="D226" s="11" t="s">
        <v>494</v>
      </c>
      <c r="E226" s="21" t="s">
        <v>1532</v>
      </c>
      <c r="F226" s="11">
        <v>226.0</v>
      </c>
      <c r="G226" s="11">
        <v>3.103</v>
      </c>
      <c r="H226" s="11" t="s">
        <v>49</v>
      </c>
      <c r="I226" s="11" t="s">
        <v>291</v>
      </c>
      <c r="J226" s="11" t="s">
        <v>54</v>
      </c>
      <c r="K226" s="11" t="s">
        <v>83</v>
      </c>
      <c r="L226" s="11" t="s">
        <v>293</v>
      </c>
      <c r="M226" s="11" t="s">
        <v>336</v>
      </c>
      <c r="N226" s="11" t="s">
        <v>51</v>
      </c>
      <c r="O226" s="11" t="s">
        <v>53</v>
      </c>
      <c r="P226" s="11" t="s">
        <v>80</v>
      </c>
      <c r="Q226" s="11" t="s">
        <v>235</v>
      </c>
      <c r="R226" s="11" t="s">
        <v>52</v>
      </c>
    </row>
    <row r="227">
      <c r="A227" s="10">
        <v>46195.88040466435</v>
      </c>
      <c r="B227" s="11" t="s">
        <v>1461</v>
      </c>
      <c r="C227" s="11" t="s">
        <v>357</v>
      </c>
      <c r="D227" s="11" t="s">
        <v>1460</v>
      </c>
      <c r="E227" s="21" t="s">
        <v>1533</v>
      </c>
      <c r="F227" s="11">
        <v>221.0</v>
      </c>
      <c r="G227" s="11">
        <v>3.027</v>
      </c>
      <c r="H227" s="11" t="s">
        <v>49</v>
      </c>
      <c r="I227" s="11" t="s">
        <v>291</v>
      </c>
      <c r="J227" s="11" t="s">
        <v>336</v>
      </c>
      <c r="K227" s="11" t="s">
        <v>293</v>
      </c>
      <c r="L227" s="11" t="s">
        <v>52</v>
      </c>
      <c r="M227" s="11" t="s">
        <v>54</v>
      </c>
      <c r="N227" s="11" t="s">
        <v>82</v>
      </c>
      <c r="O227" s="11" t="s">
        <v>83</v>
      </c>
      <c r="P227" s="11" t="s">
        <v>219</v>
      </c>
      <c r="Q227" s="11" t="s">
        <v>132</v>
      </c>
      <c r="R227" s="11" t="s">
        <v>85</v>
      </c>
    </row>
    <row r="228">
      <c r="A228" s="10">
        <v>46192.65710730324</v>
      </c>
      <c r="B228" s="11" t="s">
        <v>648</v>
      </c>
      <c r="C228" s="11" t="s">
        <v>646</v>
      </c>
      <c r="D228" s="11" t="s">
        <v>647</v>
      </c>
      <c r="E228" s="21" t="s">
        <v>1534</v>
      </c>
      <c r="F228" s="11">
        <v>211.5</v>
      </c>
      <c r="G228" s="11">
        <v>3.15</v>
      </c>
      <c r="H228" s="11" t="s">
        <v>49</v>
      </c>
      <c r="I228" s="11" t="s">
        <v>291</v>
      </c>
      <c r="J228" s="11" t="s">
        <v>54</v>
      </c>
      <c r="K228" s="11" t="s">
        <v>83</v>
      </c>
      <c r="L228" s="11" t="s">
        <v>85</v>
      </c>
      <c r="M228" s="11" t="s">
        <v>53</v>
      </c>
      <c r="N228" s="11" t="s">
        <v>52</v>
      </c>
      <c r="O228" s="11" t="s">
        <v>51</v>
      </c>
      <c r="P228" s="11" t="s">
        <v>82</v>
      </c>
      <c r="Q228" s="11" t="s">
        <v>225</v>
      </c>
      <c r="R228" s="11" t="s">
        <v>293</v>
      </c>
    </row>
    <row r="229">
      <c r="A229" s="10">
        <v>46176.565128993054</v>
      </c>
      <c r="B229" s="11" t="s">
        <v>1162</v>
      </c>
      <c r="C229" s="11" t="s">
        <v>330</v>
      </c>
      <c r="D229" s="11" t="s">
        <v>1161</v>
      </c>
      <c r="E229" s="21" t="s">
        <v>1535</v>
      </c>
      <c r="F229" s="11">
        <v>200.0</v>
      </c>
      <c r="G229" s="11">
        <v>3.82</v>
      </c>
      <c r="H229" s="11" t="s">
        <v>49</v>
      </c>
      <c r="I229" s="11" t="s">
        <v>291</v>
      </c>
      <c r="J229" s="11" t="s">
        <v>293</v>
      </c>
      <c r="K229" s="11" t="s">
        <v>235</v>
      </c>
      <c r="L229" s="11" t="s">
        <v>34</v>
      </c>
      <c r="M229" s="11" t="s">
        <v>132</v>
      </c>
    </row>
    <row r="230">
      <c r="A230" s="10">
        <v>46195.021667685185</v>
      </c>
      <c r="B230" s="11" t="s">
        <v>417</v>
      </c>
      <c r="C230" s="11" t="s">
        <v>356</v>
      </c>
      <c r="D230" s="11" t="s">
        <v>416</v>
      </c>
      <c r="E230" s="21" t="s">
        <v>1538</v>
      </c>
      <c r="F230" s="11">
        <v>192.0</v>
      </c>
      <c r="G230" s="11">
        <v>3.86</v>
      </c>
      <c r="H230" s="11" t="s">
        <v>49</v>
      </c>
      <c r="I230" s="11" t="s">
        <v>291</v>
      </c>
      <c r="J230" s="11" t="s">
        <v>110</v>
      </c>
      <c r="K230" s="11" t="s">
        <v>53</v>
      </c>
      <c r="L230" s="11" t="s">
        <v>83</v>
      </c>
      <c r="M230" s="11" t="s">
        <v>54</v>
      </c>
      <c r="N230" s="11" t="s">
        <v>219</v>
      </c>
      <c r="O230" s="11" t="s">
        <v>235</v>
      </c>
      <c r="P230" s="11" t="s">
        <v>59</v>
      </c>
      <c r="Q230" s="11" t="s">
        <v>82</v>
      </c>
      <c r="R230" s="11" t="s">
        <v>207</v>
      </c>
    </row>
    <row r="231">
      <c r="A231" s="10">
        <v>46195.98464027778</v>
      </c>
      <c r="B231" s="11" t="s">
        <v>1359</v>
      </c>
      <c r="C231" s="11" t="s">
        <v>1357</v>
      </c>
      <c r="D231" s="11" t="s">
        <v>1358</v>
      </c>
      <c r="E231" s="21" t="s">
        <v>1541</v>
      </c>
      <c r="F231" s="11">
        <v>190.5</v>
      </c>
      <c r="G231" s="11">
        <v>3.9</v>
      </c>
      <c r="H231" s="11" t="s">
        <v>49</v>
      </c>
      <c r="I231" s="11" t="s">
        <v>291</v>
      </c>
      <c r="J231" s="11" t="s">
        <v>148</v>
      </c>
      <c r="K231" s="11" t="s">
        <v>53</v>
      </c>
      <c r="L231" s="11" t="s">
        <v>59</v>
      </c>
      <c r="M231" s="11" t="s">
        <v>171</v>
      </c>
      <c r="N231" s="11" t="s">
        <v>207</v>
      </c>
      <c r="O231" s="11" t="s">
        <v>145</v>
      </c>
      <c r="P231" s="11" t="s">
        <v>54</v>
      </c>
      <c r="Q231" s="11" t="s">
        <v>110</v>
      </c>
      <c r="R231" s="11" t="s">
        <v>132</v>
      </c>
    </row>
    <row r="232">
      <c r="A232" s="10">
        <v>46195.99901575231</v>
      </c>
      <c r="B232" s="11" t="s">
        <v>1291</v>
      </c>
      <c r="C232" s="11" t="s">
        <v>151</v>
      </c>
      <c r="D232" s="11" t="s">
        <v>1290</v>
      </c>
      <c r="E232" s="21" t="s">
        <v>1544</v>
      </c>
      <c r="F232" s="11">
        <v>167.0</v>
      </c>
      <c r="G232" s="11">
        <v>3.439</v>
      </c>
      <c r="H232" s="11" t="s">
        <v>49</v>
      </c>
      <c r="I232" s="11" t="s">
        <v>291</v>
      </c>
      <c r="J232" s="11" t="s">
        <v>54</v>
      </c>
      <c r="K232" s="11" t="s">
        <v>51</v>
      </c>
      <c r="L232" s="11" t="s">
        <v>53</v>
      </c>
      <c r="M232" s="11" t="s">
        <v>336</v>
      </c>
      <c r="N232" s="11" t="s">
        <v>52</v>
      </c>
      <c r="O232" s="11" t="s">
        <v>148</v>
      </c>
      <c r="P232" s="11" t="s">
        <v>126</v>
      </c>
      <c r="Q232" s="11" t="s">
        <v>105</v>
      </c>
    </row>
    <row r="233">
      <c r="A233" s="10">
        <v>46195.84213697916</v>
      </c>
      <c r="B233" s="11" t="s">
        <v>732</v>
      </c>
      <c r="C233" s="11" t="s">
        <v>359</v>
      </c>
      <c r="D233" s="11" t="s">
        <v>731</v>
      </c>
      <c r="E233" s="21" t="s">
        <v>1545</v>
      </c>
      <c r="F233" s="11">
        <v>163.0</v>
      </c>
      <c r="G233" s="11">
        <v>3.475</v>
      </c>
      <c r="H233" s="11" t="s">
        <v>49</v>
      </c>
      <c r="I233" s="11" t="s">
        <v>291</v>
      </c>
      <c r="J233" s="11" t="s">
        <v>235</v>
      </c>
      <c r="K233" s="11" t="s">
        <v>34</v>
      </c>
      <c r="L233" s="11" t="s">
        <v>83</v>
      </c>
      <c r="M233" s="11" t="s">
        <v>54</v>
      </c>
      <c r="N233" s="11" t="s">
        <v>51</v>
      </c>
      <c r="O233" s="11" t="s">
        <v>52</v>
      </c>
    </row>
    <row r="234">
      <c r="A234" s="10">
        <v>46189.898571701386</v>
      </c>
      <c r="B234" s="11" t="s">
        <v>530</v>
      </c>
      <c r="C234" s="11" t="s">
        <v>333</v>
      </c>
      <c r="D234" s="11" t="s">
        <v>529</v>
      </c>
      <c r="E234" s="21" t="s">
        <v>1546</v>
      </c>
      <c r="F234" s="11">
        <v>157.0</v>
      </c>
      <c r="G234" s="11">
        <v>3.894</v>
      </c>
      <c r="H234" s="11" t="s">
        <v>49</v>
      </c>
      <c r="I234" s="11" t="s">
        <v>291</v>
      </c>
      <c r="J234" s="11" t="s">
        <v>235</v>
      </c>
      <c r="K234" s="11" t="s">
        <v>293</v>
      </c>
      <c r="L234" s="11" t="s">
        <v>336</v>
      </c>
      <c r="M234" s="11" t="s">
        <v>219</v>
      </c>
      <c r="N234" s="11" t="s">
        <v>132</v>
      </c>
      <c r="O234" s="11" t="s">
        <v>53</v>
      </c>
      <c r="P234" s="11" t="s">
        <v>83</v>
      </c>
      <c r="Q234" s="11" t="s">
        <v>54</v>
      </c>
      <c r="R234" s="11" t="s">
        <v>82</v>
      </c>
    </row>
    <row r="235">
      <c r="A235" s="10">
        <v>46185.468375613425</v>
      </c>
      <c r="B235" s="11" t="s">
        <v>683</v>
      </c>
      <c r="C235" s="11" t="s">
        <v>358</v>
      </c>
      <c r="D235" s="11" t="s">
        <v>682</v>
      </c>
      <c r="E235" s="21" t="s">
        <v>1547</v>
      </c>
      <c r="F235" s="11">
        <v>128.0</v>
      </c>
      <c r="G235" s="11">
        <v>3.326</v>
      </c>
      <c r="H235" s="11" t="s">
        <v>49</v>
      </c>
      <c r="I235" s="11" t="s">
        <v>291</v>
      </c>
      <c r="J235" s="11" t="s">
        <v>293</v>
      </c>
      <c r="K235" s="11" t="s">
        <v>82</v>
      </c>
      <c r="L235" s="11" t="s">
        <v>54</v>
      </c>
      <c r="M235" s="11" t="s">
        <v>83</v>
      </c>
      <c r="N235" s="11" t="s">
        <v>51</v>
      </c>
      <c r="O235" s="11" t="s">
        <v>235</v>
      </c>
      <c r="P235" s="11" t="s">
        <v>53</v>
      </c>
      <c r="Q235" s="11" t="s">
        <v>364</v>
      </c>
      <c r="R235" s="11" t="s">
        <v>59</v>
      </c>
    </row>
    <row r="236">
      <c r="A236" s="10">
        <v>46176.714037638885</v>
      </c>
      <c r="B236" s="11" t="s">
        <v>480</v>
      </c>
      <c r="C236" s="11" t="s">
        <v>478</v>
      </c>
      <c r="D236" s="11" t="s">
        <v>479</v>
      </c>
      <c r="E236" s="52" t="s">
        <v>1548</v>
      </c>
      <c r="F236" s="11">
        <v>282.0</v>
      </c>
      <c r="G236" s="11">
        <v>3.94</v>
      </c>
      <c r="H236" s="11" t="s">
        <v>49</v>
      </c>
      <c r="I236" s="11" t="s">
        <v>293</v>
      </c>
      <c r="J236" s="11" t="s">
        <v>51</v>
      </c>
      <c r="K236" s="11" t="s">
        <v>52</v>
      </c>
      <c r="L236" s="11" t="s">
        <v>336</v>
      </c>
      <c r="M236" s="11" t="s">
        <v>289</v>
      </c>
      <c r="N236" s="11" t="s">
        <v>54</v>
      </c>
      <c r="O236" s="11" t="s">
        <v>85</v>
      </c>
      <c r="P236" s="11" t="s">
        <v>109</v>
      </c>
      <c r="Q236" s="11" t="s">
        <v>169</v>
      </c>
      <c r="R236" s="11" t="s">
        <v>73</v>
      </c>
    </row>
    <row r="237">
      <c r="A237" s="10">
        <v>46191.403290682865</v>
      </c>
      <c r="B237" s="11" t="s">
        <v>727</v>
      </c>
      <c r="C237" s="11" t="s">
        <v>725</v>
      </c>
      <c r="D237" s="11" t="s">
        <v>726</v>
      </c>
      <c r="E237" s="21" t="s">
        <v>1549</v>
      </c>
      <c r="F237" s="11">
        <v>249.0</v>
      </c>
      <c r="G237" s="11">
        <v>3.5</v>
      </c>
      <c r="H237" s="11" t="s">
        <v>49</v>
      </c>
      <c r="I237" s="11" t="s">
        <v>293</v>
      </c>
      <c r="J237" s="11" t="s">
        <v>336</v>
      </c>
      <c r="K237" s="11" t="s">
        <v>36</v>
      </c>
      <c r="L237" s="11" t="s">
        <v>54</v>
      </c>
      <c r="M237" s="11" t="s">
        <v>53</v>
      </c>
    </row>
    <row r="238">
      <c r="A238" s="10">
        <v>46195.597008125</v>
      </c>
      <c r="B238" s="11" t="s">
        <v>1105</v>
      </c>
      <c r="C238" s="11" t="s">
        <v>384</v>
      </c>
      <c r="D238" s="11" t="s">
        <v>1104</v>
      </c>
      <c r="E238" s="21" t="s">
        <v>1553</v>
      </c>
      <c r="F238" s="11">
        <v>237.0</v>
      </c>
      <c r="G238" s="11">
        <v>3.906</v>
      </c>
      <c r="H238" s="11" t="s">
        <v>49</v>
      </c>
      <c r="I238" s="11" t="s">
        <v>293</v>
      </c>
      <c r="J238" s="11" t="s">
        <v>336</v>
      </c>
      <c r="K238" s="11" t="s">
        <v>51</v>
      </c>
      <c r="L238" s="11" t="s">
        <v>52</v>
      </c>
      <c r="M238" s="11" t="s">
        <v>289</v>
      </c>
      <c r="N238" s="11" t="s">
        <v>82</v>
      </c>
      <c r="O238" s="11" t="s">
        <v>305</v>
      </c>
      <c r="P238" s="11" t="s">
        <v>341</v>
      </c>
      <c r="Q238" s="11" t="s">
        <v>36</v>
      </c>
      <c r="R238" s="11" t="s">
        <v>85</v>
      </c>
    </row>
    <row r="239">
      <c r="A239" s="10">
        <v>46195.59494038194</v>
      </c>
      <c r="B239" s="11" t="s">
        <v>1233</v>
      </c>
      <c r="C239" s="11" t="s">
        <v>1231</v>
      </c>
      <c r="D239" s="11" t="s">
        <v>1232</v>
      </c>
      <c r="E239" s="21" t="s">
        <v>1556</v>
      </c>
      <c r="F239" s="11">
        <v>220.5</v>
      </c>
      <c r="G239" s="11">
        <v>3.67</v>
      </c>
      <c r="H239" s="11" t="s">
        <v>49</v>
      </c>
      <c r="I239" s="11" t="s">
        <v>293</v>
      </c>
      <c r="J239" s="11" t="s">
        <v>336</v>
      </c>
      <c r="K239" s="11" t="s">
        <v>58</v>
      </c>
      <c r="L239" s="11" t="s">
        <v>289</v>
      </c>
      <c r="M239" s="11" t="s">
        <v>54</v>
      </c>
      <c r="N239" s="11" t="s">
        <v>341</v>
      </c>
      <c r="O239" s="11" t="s">
        <v>85</v>
      </c>
      <c r="P239" s="11" t="s">
        <v>53</v>
      </c>
      <c r="Q239" s="11" t="s">
        <v>109</v>
      </c>
      <c r="R239" s="11" t="s">
        <v>59</v>
      </c>
    </row>
    <row r="240">
      <c r="A240" s="10">
        <v>46193.61657925926</v>
      </c>
      <c r="B240" s="11" t="s">
        <v>1194</v>
      </c>
      <c r="C240" s="11" t="s">
        <v>378</v>
      </c>
      <c r="D240" s="11" t="s">
        <v>1193</v>
      </c>
      <c r="E240" s="21" t="s">
        <v>1557</v>
      </c>
      <c r="F240" s="11">
        <v>204.5</v>
      </c>
      <c r="G240" s="11">
        <v>3.96</v>
      </c>
      <c r="H240" s="11" t="s">
        <v>49</v>
      </c>
      <c r="I240" s="11" t="s">
        <v>293</v>
      </c>
      <c r="J240" s="11" t="s">
        <v>52</v>
      </c>
      <c r="K240" s="11" t="s">
        <v>51</v>
      </c>
      <c r="L240" s="11" t="s">
        <v>336</v>
      </c>
      <c r="M240" s="11" t="s">
        <v>305</v>
      </c>
      <c r="N240" s="11" t="s">
        <v>83</v>
      </c>
      <c r="O240" s="11" t="s">
        <v>219</v>
      </c>
      <c r="P240" s="11" t="s">
        <v>235</v>
      </c>
      <c r="Q240" s="11" t="s">
        <v>225</v>
      </c>
      <c r="R240" s="11" t="s">
        <v>207</v>
      </c>
    </row>
    <row r="241">
      <c r="A241" s="10">
        <v>46195.71254619213</v>
      </c>
      <c r="B241" s="11" t="s">
        <v>1481</v>
      </c>
      <c r="C241" s="11" t="s">
        <v>1476</v>
      </c>
      <c r="D241" s="11" t="s">
        <v>1480</v>
      </c>
      <c r="E241" s="21" t="s">
        <v>1562</v>
      </c>
      <c r="F241" s="11">
        <v>201.5</v>
      </c>
      <c r="G241" s="11">
        <v>3.963</v>
      </c>
      <c r="H241" s="11" t="s">
        <v>49</v>
      </c>
      <c r="I241" s="11" t="s">
        <v>293</v>
      </c>
      <c r="J241" s="11" t="s">
        <v>336</v>
      </c>
      <c r="K241" s="11" t="s">
        <v>291</v>
      </c>
      <c r="L241" s="11" t="s">
        <v>83</v>
      </c>
      <c r="M241" s="11" t="s">
        <v>235</v>
      </c>
      <c r="N241" s="11" t="s">
        <v>82</v>
      </c>
      <c r="O241" s="11" t="s">
        <v>54</v>
      </c>
      <c r="P241" s="11" t="s">
        <v>51</v>
      </c>
      <c r="Q241" s="11" t="s">
        <v>52</v>
      </c>
    </row>
    <row r="242">
      <c r="A242" s="10">
        <v>46185.49488545139</v>
      </c>
      <c r="B242" s="11" t="s">
        <v>655</v>
      </c>
      <c r="C242" s="11" t="s">
        <v>644</v>
      </c>
      <c r="D242" s="11" t="s">
        <v>653</v>
      </c>
      <c r="E242" s="21" t="s">
        <v>1563</v>
      </c>
      <c r="F242" s="11">
        <v>198.0</v>
      </c>
      <c r="G242" s="11">
        <v>4.0</v>
      </c>
      <c r="H242" s="11" t="s">
        <v>49</v>
      </c>
      <c r="I242" s="11" t="s">
        <v>293</v>
      </c>
      <c r="J242" s="11" t="s">
        <v>336</v>
      </c>
      <c r="K242" s="11" t="s">
        <v>191</v>
      </c>
      <c r="L242" s="11" t="s">
        <v>235</v>
      </c>
      <c r="M242" s="11" t="s">
        <v>54</v>
      </c>
      <c r="N242" s="11" t="s">
        <v>52</v>
      </c>
      <c r="O242" s="11" t="s">
        <v>51</v>
      </c>
      <c r="P242" s="11" t="s">
        <v>289</v>
      </c>
      <c r="Q242" s="11" t="s">
        <v>291</v>
      </c>
      <c r="R242" s="11" t="s">
        <v>305</v>
      </c>
    </row>
    <row r="243">
      <c r="A243" s="10">
        <v>46193.88161016203</v>
      </c>
      <c r="B243" s="11" t="s">
        <v>1510</v>
      </c>
      <c r="C243" s="11" t="s">
        <v>1508</v>
      </c>
      <c r="D243" s="11" t="s">
        <v>1509</v>
      </c>
      <c r="E243" s="21" t="s">
        <v>1564</v>
      </c>
      <c r="F243" s="11">
        <v>187.25</v>
      </c>
      <c r="G243" s="11">
        <v>3.916</v>
      </c>
      <c r="H243" s="11" t="s">
        <v>49</v>
      </c>
      <c r="I243" s="11" t="s">
        <v>293</v>
      </c>
      <c r="J243" s="11" t="s">
        <v>336</v>
      </c>
      <c r="K243" s="11" t="s">
        <v>36</v>
      </c>
      <c r="L243" s="11" t="s">
        <v>291</v>
      </c>
      <c r="M243" s="11" t="s">
        <v>53</v>
      </c>
      <c r="N243" s="11" t="s">
        <v>54</v>
      </c>
      <c r="O243" s="11" t="s">
        <v>51</v>
      </c>
      <c r="P243" s="11" t="s">
        <v>207</v>
      </c>
      <c r="Q243" s="11" t="s">
        <v>83</v>
      </c>
      <c r="R243" s="11" t="s">
        <v>52</v>
      </c>
    </row>
    <row r="244">
      <c r="A244" s="10">
        <v>46178.770846203704</v>
      </c>
      <c r="B244" s="11" t="s">
        <v>865</v>
      </c>
      <c r="C244" s="11" t="s">
        <v>334</v>
      </c>
      <c r="D244" s="11" t="s">
        <v>864</v>
      </c>
      <c r="E244" s="21" t="s">
        <v>1565</v>
      </c>
      <c r="F244" s="11">
        <v>183.0</v>
      </c>
      <c r="G244" s="11">
        <v>3.871</v>
      </c>
      <c r="H244" s="11" t="s">
        <v>49</v>
      </c>
      <c r="I244" s="11" t="s">
        <v>293</v>
      </c>
      <c r="J244" s="11" t="s">
        <v>54</v>
      </c>
      <c r="K244" s="11" t="s">
        <v>291</v>
      </c>
      <c r="L244" s="11" t="s">
        <v>235</v>
      </c>
      <c r="M244" s="11" t="s">
        <v>34</v>
      </c>
      <c r="N244" s="11" t="s">
        <v>132</v>
      </c>
      <c r="O244" s="11" t="s">
        <v>207</v>
      </c>
      <c r="P244" s="11" t="s">
        <v>336</v>
      </c>
      <c r="Q244" s="11" t="s">
        <v>83</v>
      </c>
      <c r="R244" s="11" t="s">
        <v>80</v>
      </c>
    </row>
    <row r="245">
      <c r="A245" s="10">
        <v>46192.484032430555</v>
      </c>
      <c r="B245" s="11" t="s">
        <v>641</v>
      </c>
      <c r="C245" s="11" t="s">
        <v>639</v>
      </c>
      <c r="D245" s="11" t="s">
        <v>640</v>
      </c>
      <c r="E245" s="21" t="s">
        <v>1566</v>
      </c>
      <c r="F245" s="11">
        <v>172.0</v>
      </c>
      <c r="G245" s="11">
        <v>3.715</v>
      </c>
      <c r="H245" s="11" t="s">
        <v>49</v>
      </c>
      <c r="I245" s="11" t="s">
        <v>293</v>
      </c>
      <c r="J245" s="11" t="s">
        <v>336</v>
      </c>
      <c r="K245" s="11" t="s">
        <v>36</v>
      </c>
      <c r="L245" s="11" t="s">
        <v>54</v>
      </c>
      <c r="M245" s="11" t="s">
        <v>53</v>
      </c>
    </row>
    <row r="246">
      <c r="A246" s="10">
        <v>46192.05504260417</v>
      </c>
      <c r="B246" s="11" t="s">
        <v>986</v>
      </c>
      <c r="C246" s="11" t="s">
        <v>981</v>
      </c>
      <c r="D246" s="11" t="s">
        <v>985</v>
      </c>
      <c r="E246" s="21" t="s">
        <v>1567</v>
      </c>
      <c r="F246" s="11">
        <v>168.5</v>
      </c>
      <c r="G246" s="11">
        <v>3.492</v>
      </c>
      <c r="H246" s="11" t="s">
        <v>49</v>
      </c>
      <c r="I246" s="11" t="s">
        <v>293</v>
      </c>
      <c r="J246" s="11" t="s">
        <v>54</v>
      </c>
      <c r="K246" s="11" t="s">
        <v>51</v>
      </c>
      <c r="L246" s="11" t="s">
        <v>52</v>
      </c>
      <c r="M246" s="11" t="s">
        <v>36</v>
      </c>
      <c r="N246" s="11" t="s">
        <v>56</v>
      </c>
      <c r="O246" s="11" t="s">
        <v>191</v>
      </c>
      <c r="P246" s="11" t="s">
        <v>305</v>
      </c>
      <c r="Q246" s="11" t="s">
        <v>83</v>
      </c>
      <c r="R246" s="11" t="s">
        <v>336</v>
      </c>
    </row>
    <row r="247">
      <c r="A247" s="10">
        <v>46192.89553076389</v>
      </c>
      <c r="B247" s="11" t="s">
        <v>1518</v>
      </c>
      <c r="C247" s="11" t="s">
        <v>390</v>
      </c>
      <c r="D247" s="11" t="s">
        <v>1517</v>
      </c>
      <c r="E247" s="21" t="s">
        <v>1568</v>
      </c>
      <c r="F247" s="11">
        <v>166.0</v>
      </c>
      <c r="G247" s="11">
        <v>3.84</v>
      </c>
      <c r="H247" s="11" t="s">
        <v>49</v>
      </c>
      <c r="I247" s="11" t="s">
        <v>293</v>
      </c>
      <c r="J247" s="11" t="s">
        <v>336</v>
      </c>
      <c r="K247" s="11" t="s">
        <v>51</v>
      </c>
      <c r="L247" s="11" t="s">
        <v>52</v>
      </c>
      <c r="M247" s="11" t="s">
        <v>289</v>
      </c>
      <c r="N247" s="11" t="s">
        <v>191</v>
      </c>
      <c r="O247" s="11" t="s">
        <v>70</v>
      </c>
      <c r="P247" s="11" t="s">
        <v>132</v>
      </c>
    </row>
    <row r="248">
      <c r="A248" s="10">
        <v>46195.77151697916</v>
      </c>
      <c r="B248" s="11" t="s">
        <v>799</v>
      </c>
      <c r="C248" s="11" t="s">
        <v>796</v>
      </c>
      <c r="D248" s="11" t="s">
        <v>798</v>
      </c>
      <c r="E248" s="21" t="s">
        <v>1569</v>
      </c>
      <c r="F248" s="11">
        <v>162.5</v>
      </c>
      <c r="G248" s="11">
        <v>3.62</v>
      </c>
      <c r="H248" s="11" t="s">
        <v>49</v>
      </c>
      <c r="I248" s="11" t="s">
        <v>293</v>
      </c>
      <c r="J248" s="11" t="s">
        <v>52</v>
      </c>
      <c r="K248" s="11" t="s">
        <v>51</v>
      </c>
      <c r="L248" s="11" t="s">
        <v>291</v>
      </c>
      <c r="M248" s="11" t="s">
        <v>336</v>
      </c>
      <c r="N248" s="11" t="s">
        <v>53</v>
      </c>
      <c r="O248" s="11" t="s">
        <v>58</v>
      </c>
      <c r="P248" s="11" t="s">
        <v>105</v>
      </c>
      <c r="Q248" s="11" t="s">
        <v>36</v>
      </c>
      <c r="R248" s="11" t="s">
        <v>82</v>
      </c>
    </row>
    <row r="249">
      <c r="A249" s="10">
        <v>46195.98595212963</v>
      </c>
      <c r="B249" s="11" t="s">
        <v>706</v>
      </c>
      <c r="C249" s="11" t="s">
        <v>160</v>
      </c>
      <c r="D249" s="11" t="s">
        <v>705</v>
      </c>
      <c r="E249" s="21" t="s">
        <v>1570</v>
      </c>
      <c r="F249" s="11">
        <v>150.0</v>
      </c>
      <c r="G249" s="11">
        <v>3.45</v>
      </c>
      <c r="H249" s="11" t="s">
        <v>49</v>
      </c>
      <c r="I249" s="11" t="s">
        <v>293</v>
      </c>
      <c r="J249" s="11" t="s">
        <v>336</v>
      </c>
      <c r="K249" s="11" t="s">
        <v>58</v>
      </c>
      <c r="L249" s="11" t="s">
        <v>289</v>
      </c>
      <c r="M249" s="11" t="s">
        <v>54</v>
      </c>
      <c r="N249" s="11" t="s">
        <v>341</v>
      </c>
      <c r="O249" s="11" t="s">
        <v>85</v>
      </c>
      <c r="P249" s="11" t="s">
        <v>53</v>
      </c>
      <c r="Q249" s="11" t="s">
        <v>109</v>
      </c>
      <c r="R249" s="11" t="s">
        <v>59</v>
      </c>
    </row>
    <row r="250">
      <c r="A250" s="10">
        <v>46195.9721553125</v>
      </c>
      <c r="B250" s="11" t="s">
        <v>523</v>
      </c>
      <c r="C250" s="11" t="s">
        <v>1571</v>
      </c>
      <c r="D250" s="11" t="s">
        <v>522</v>
      </c>
      <c r="E250" s="21" t="s">
        <v>1572</v>
      </c>
      <c r="F250" s="11">
        <v>136.0</v>
      </c>
      <c r="G250" s="11">
        <v>3.816</v>
      </c>
      <c r="H250" s="11" t="s">
        <v>49</v>
      </c>
      <c r="I250" s="11" t="s">
        <v>293</v>
      </c>
      <c r="J250" s="11" t="s">
        <v>54</v>
      </c>
      <c r="K250" s="11" t="s">
        <v>336</v>
      </c>
      <c r="L250" s="11" t="s">
        <v>51</v>
      </c>
      <c r="M250" s="11" t="s">
        <v>291</v>
      </c>
      <c r="N250" s="11" t="s">
        <v>132</v>
      </c>
      <c r="O250" s="11" t="s">
        <v>191</v>
      </c>
      <c r="P250" s="11" t="s">
        <v>53</v>
      </c>
      <c r="Q250" s="11" t="s">
        <v>70</v>
      </c>
      <c r="R250" s="11" t="s">
        <v>73</v>
      </c>
    </row>
    <row r="251">
      <c r="A251" s="10">
        <v>46195.99750359954</v>
      </c>
      <c r="B251" s="11" t="s">
        <v>1370</v>
      </c>
      <c r="C251" s="11" t="s">
        <v>1368</v>
      </c>
      <c r="D251" s="11" t="s">
        <v>1369</v>
      </c>
      <c r="E251" s="21" t="s">
        <v>1573</v>
      </c>
      <c r="F251" s="11">
        <v>90.0</v>
      </c>
      <c r="G251" s="11">
        <v>3.175</v>
      </c>
      <c r="H251" s="11" t="s">
        <v>49</v>
      </c>
      <c r="I251" s="11" t="s">
        <v>293</v>
      </c>
      <c r="J251" s="11" t="s">
        <v>336</v>
      </c>
      <c r="K251" s="11" t="s">
        <v>51</v>
      </c>
      <c r="L251" s="11" t="s">
        <v>52</v>
      </c>
      <c r="M251" s="11" t="s">
        <v>291</v>
      </c>
      <c r="N251" s="11" t="s">
        <v>341</v>
      </c>
      <c r="O251" s="11" t="s">
        <v>289</v>
      </c>
      <c r="P251" s="11" t="s">
        <v>53</v>
      </c>
      <c r="Q251" s="11" t="s">
        <v>235</v>
      </c>
      <c r="R251" s="11" t="s">
        <v>70</v>
      </c>
    </row>
    <row r="252">
      <c r="A252" s="10">
        <v>46194.14927695601</v>
      </c>
      <c r="B252" s="11" t="s">
        <v>663</v>
      </c>
      <c r="C252" s="11" t="s">
        <v>661</v>
      </c>
      <c r="D252" s="11" t="s">
        <v>662</v>
      </c>
      <c r="E252" s="21" t="s">
        <v>1574</v>
      </c>
      <c r="F252" s="11">
        <v>177.0</v>
      </c>
      <c r="G252" s="11">
        <v>2.783</v>
      </c>
      <c r="H252" s="11" t="s">
        <v>49</v>
      </c>
      <c r="I252" s="11" t="s">
        <v>305</v>
      </c>
      <c r="J252" s="11" t="s">
        <v>52</v>
      </c>
      <c r="K252" s="11" t="s">
        <v>336</v>
      </c>
      <c r="L252" s="11" t="s">
        <v>83</v>
      </c>
      <c r="M252" s="11" t="s">
        <v>219</v>
      </c>
      <c r="N252" s="11" t="s">
        <v>225</v>
      </c>
      <c r="O252" s="11" t="s">
        <v>54</v>
      </c>
      <c r="P252" s="11" t="s">
        <v>132</v>
      </c>
      <c r="Q252" s="11" t="s">
        <v>85</v>
      </c>
      <c r="R252" s="11" t="s">
        <v>145</v>
      </c>
    </row>
    <row r="253">
      <c r="A253" s="10">
        <v>46176.54424934028</v>
      </c>
      <c r="B253" s="11" t="s">
        <v>669</v>
      </c>
      <c r="C253" s="11" t="s">
        <v>667</v>
      </c>
      <c r="D253" s="11" t="s">
        <v>668</v>
      </c>
      <c r="E253" s="21" t="s">
        <v>1575</v>
      </c>
      <c r="F253" s="11">
        <v>174.0</v>
      </c>
      <c r="G253" s="11">
        <v>3.26</v>
      </c>
      <c r="H253" s="11" t="s">
        <v>49</v>
      </c>
      <c r="I253" s="11" t="s">
        <v>305</v>
      </c>
      <c r="J253" s="11" t="s">
        <v>83</v>
      </c>
      <c r="K253" s="11" t="s">
        <v>293</v>
      </c>
      <c r="L253" s="11" t="s">
        <v>291</v>
      </c>
      <c r="M253" s="11" t="s">
        <v>52</v>
      </c>
    </row>
    <row r="254">
      <c r="A254" s="10">
        <v>46194.85111239583</v>
      </c>
      <c r="B254" s="11" t="s">
        <v>1497</v>
      </c>
      <c r="C254" s="11" t="s">
        <v>1495</v>
      </c>
      <c r="D254" s="11" t="s">
        <v>1496</v>
      </c>
      <c r="E254" s="21" t="s">
        <v>1576</v>
      </c>
      <c r="F254" s="11">
        <v>230.0</v>
      </c>
      <c r="G254" s="11">
        <v>3.56</v>
      </c>
      <c r="H254" s="11" t="s">
        <v>49</v>
      </c>
      <c r="I254" s="11" t="s">
        <v>51</v>
      </c>
      <c r="J254" s="11" t="s">
        <v>171</v>
      </c>
      <c r="K254" s="11" t="s">
        <v>54</v>
      </c>
      <c r="L254" s="11" t="s">
        <v>73</v>
      </c>
      <c r="M254" s="11" t="s">
        <v>145</v>
      </c>
      <c r="N254" s="11" t="s">
        <v>55</v>
      </c>
      <c r="O254" s="11" t="s">
        <v>52</v>
      </c>
      <c r="P254" s="11" t="s">
        <v>66</v>
      </c>
      <c r="Q254" s="11" t="s">
        <v>36</v>
      </c>
      <c r="R254" s="11" t="s">
        <v>56</v>
      </c>
    </row>
    <row r="255">
      <c r="A255" s="10">
        <v>46190.910649212965</v>
      </c>
      <c r="B255" s="11" t="s">
        <v>545</v>
      </c>
      <c r="C255" s="11" t="s">
        <v>543</v>
      </c>
      <c r="D255" s="11" t="s">
        <v>544</v>
      </c>
      <c r="E255" s="21" t="s">
        <v>1577</v>
      </c>
      <c r="F255" s="11">
        <v>192.0</v>
      </c>
      <c r="G255" s="11">
        <v>3.934</v>
      </c>
      <c r="H255" s="11" t="s">
        <v>49</v>
      </c>
      <c r="I255" s="11" t="s">
        <v>51</v>
      </c>
      <c r="J255" s="11" t="s">
        <v>59</v>
      </c>
      <c r="K255" s="11" t="s">
        <v>54</v>
      </c>
      <c r="L255" s="11" t="s">
        <v>36</v>
      </c>
      <c r="M255" s="11" t="s">
        <v>291</v>
      </c>
      <c r="N255" s="11" t="s">
        <v>83</v>
      </c>
      <c r="O255" s="11" t="s">
        <v>166</v>
      </c>
      <c r="P255" s="11" t="s">
        <v>82</v>
      </c>
      <c r="Q255" s="11" t="s">
        <v>207</v>
      </c>
      <c r="R255" s="11" t="s">
        <v>364</v>
      </c>
    </row>
    <row r="256">
      <c r="A256" s="10">
        <v>46191.53668527778</v>
      </c>
      <c r="B256" s="11" t="s">
        <v>617</v>
      </c>
      <c r="C256" s="11" t="s">
        <v>615</v>
      </c>
      <c r="D256" s="11" t="s">
        <v>616</v>
      </c>
      <c r="E256" s="21" t="s">
        <v>1578</v>
      </c>
      <c r="F256" s="11">
        <v>183.0</v>
      </c>
      <c r="G256" s="11">
        <v>3.07</v>
      </c>
      <c r="H256" s="11" t="s">
        <v>49</v>
      </c>
      <c r="I256" s="11" t="s">
        <v>51</v>
      </c>
      <c r="J256" s="11" t="s">
        <v>53</v>
      </c>
      <c r="K256" s="11" t="s">
        <v>52</v>
      </c>
      <c r="L256" s="11" t="s">
        <v>56</v>
      </c>
      <c r="M256" s="11" t="s">
        <v>54</v>
      </c>
      <c r="N256" s="11" t="s">
        <v>293</v>
      </c>
      <c r="O256" s="11" t="s">
        <v>291</v>
      </c>
      <c r="P256" s="11" t="s">
        <v>60</v>
      </c>
      <c r="Q256" s="11" t="s">
        <v>336</v>
      </c>
      <c r="R256" s="11" t="s">
        <v>83</v>
      </c>
    </row>
    <row r="257">
      <c r="A257" s="10">
        <v>46194.84003920139</v>
      </c>
      <c r="B257" s="11" t="s">
        <v>1068</v>
      </c>
      <c r="C257" s="11" t="s">
        <v>144</v>
      </c>
      <c r="D257" s="11" t="s">
        <v>1067</v>
      </c>
      <c r="E257" s="21" t="s">
        <v>1595</v>
      </c>
      <c r="F257" s="11">
        <v>180.0</v>
      </c>
      <c r="G257" s="11">
        <v>3.468</v>
      </c>
      <c r="H257" s="11" t="s">
        <v>49</v>
      </c>
      <c r="I257" s="11" t="s">
        <v>51</v>
      </c>
      <c r="J257" s="11" t="s">
        <v>336</v>
      </c>
      <c r="K257" s="11" t="s">
        <v>70</v>
      </c>
      <c r="L257" s="11" t="s">
        <v>66</v>
      </c>
      <c r="M257" s="11" t="s">
        <v>323</v>
      </c>
      <c r="N257" s="11" t="s">
        <v>126</v>
      </c>
      <c r="O257" s="11" t="s">
        <v>225</v>
      </c>
      <c r="P257" s="11" t="s">
        <v>109</v>
      </c>
      <c r="Q257" s="11" t="s">
        <v>54</v>
      </c>
      <c r="R257" s="11" t="s">
        <v>197</v>
      </c>
    </row>
    <row r="258">
      <c r="A258" s="10">
        <v>46195.66715972222</v>
      </c>
      <c r="B258" s="11" t="s">
        <v>454</v>
      </c>
      <c r="C258" s="11" t="s">
        <v>450</v>
      </c>
      <c r="D258" s="11" t="s">
        <v>453</v>
      </c>
      <c r="E258" s="21" t="s">
        <v>1600</v>
      </c>
      <c r="F258" s="11">
        <v>141.5</v>
      </c>
      <c r="G258" s="11">
        <v>2.527</v>
      </c>
      <c r="H258" s="11" t="s">
        <v>49</v>
      </c>
      <c r="I258" s="11" t="s">
        <v>51</v>
      </c>
      <c r="J258" s="11" t="s">
        <v>73</v>
      </c>
      <c r="K258" s="11" t="s">
        <v>66</v>
      </c>
      <c r="L258" s="11" t="s">
        <v>171</v>
      </c>
      <c r="M258" s="11" t="s">
        <v>293</v>
      </c>
      <c r="N258" s="11" t="s">
        <v>341</v>
      </c>
      <c r="O258" s="11" t="s">
        <v>70</v>
      </c>
      <c r="P258" s="11" t="s">
        <v>80</v>
      </c>
      <c r="Q258" s="11" t="s">
        <v>191</v>
      </c>
      <c r="R258" s="11" t="s">
        <v>169</v>
      </c>
    </row>
    <row r="259">
      <c r="A259" s="10">
        <v>46195.84837626157</v>
      </c>
      <c r="B259" s="11" t="s">
        <v>736</v>
      </c>
      <c r="C259" s="11" t="s">
        <v>733</v>
      </c>
      <c r="D259" s="11" t="s">
        <v>735</v>
      </c>
      <c r="E259" s="21" t="s">
        <v>1613</v>
      </c>
      <c r="F259" s="11">
        <v>238.5</v>
      </c>
      <c r="G259" s="11">
        <v>3.572</v>
      </c>
      <c r="H259" s="11" t="s">
        <v>49</v>
      </c>
      <c r="I259" s="11" t="s">
        <v>52</v>
      </c>
      <c r="J259" s="11" t="s">
        <v>36</v>
      </c>
      <c r="K259" s="11" t="s">
        <v>85</v>
      </c>
      <c r="L259" s="11" t="s">
        <v>191</v>
      </c>
      <c r="M259" s="11" t="s">
        <v>53</v>
      </c>
      <c r="N259" s="11" t="s">
        <v>54</v>
      </c>
      <c r="O259" s="11" t="s">
        <v>82</v>
      </c>
      <c r="P259" s="11" t="s">
        <v>55</v>
      </c>
      <c r="Q259" s="11" t="s">
        <v>54</v>
      </c>
      <c r="R259" s="11" t="s">
        <v>225</v>
      </c>
    </row>
    <row r="260">
      <c r="A260" s="10">
        <v>46191.80817427083</v>
      </c>
      <c r="B260" s="11" t="s">
        <v>483</v>
      </c>
      <c r="C260" s="54" t="s">
        <v>481</v>
      </c>
      <c r="D260" s="11" t="s">
        <v>482</v>
      </c>
      <c r="E260" s="21" t="s">
        <v>1626</v>
      </c>
      <c r="F260" s="11">
        <v>226.5</v>
      </c>
      <c r="G260" s="11">
        <v>3.83</v>
      </c>
      <c r="H260" s="11" t="s">
        <v>49</v>
      </c>
      <c r="I260" s="11" t="s">
        <v>52</v>
      </c>
      <c r="J260" s="11" t="s">
        <v>54</v>
      </c>
      <c r="K260" s="11" t="s">
        <v>291</v>
      </c>
      <c r="L260" s="11" t="s">
        <v>219</v>
      </c>
      <c r="M260" s="11" t="s">
        <v>36</v>
      </c>
      <c r="N260" s="11" t="s">
        <v>85</v>
      </c>
      <c r="O260" s="11" t="s">
        <v>225</v>
      </c>
      <c r="P260" s="11" t="s">
        <v>305</v>
      </c>
    </row>
    <row r="261">
      <c r="A261" s="10">
        <v>46195.98615296296</v>
      </c>
      <c r="B261" s="11" t="s">
        <v>1158</v>
      </c>
      <c r="C261" s="11" t="s">
        <v>122</v>
      </c>
      <c r="D261" s="11" t="s">
        <v>1157</v>
      </c>
      <c r="E261" s="52" t="s">
        <v>1632</v>
      </c>
      <c r="F261" s="11">
        <v>213.5</v>
      </c>
      <c r="G261" s="11">
        <v>3.975</v>
      </c>
      <c r="H261" s="11" t="s">
        <v>49</v>
      </c>
      <c r="I261" s="11" t="s">
        <v>52</v>
      </c>
      <c r="J261" s="11" t="s">
        <v>56</v>
      </c>
      <c r="K261" s="11" t="s">
        <v>293</v>
      </c>
      <c r="L261" s="11" t="s">
        <v>54</v>
      </c>
      <c r="M261" s="11" t="s">
        <v>51</v>
      </c>
      <c r="N261" s="11" t="s">
        <v>145</v>
      </c>
      <c r="O261" s="11" t="s">
        <v>169</v>
      </c>
      <c r="P261" s="11" t="s">
        <v>83</v>
      </c>
    </row>
    <row r="262">
      <c r="A262" s="10">
        <v>46195.927931631944</v>
      </c>
      <c r="B262" s="11" t="s">
        <v>575</v>
      </c>
      <c r="C262" s="11" t="s">
        <v>374</v>
      </c>
      <c r="D262" s="11" t="s">
        <v>574</v>
      </c>
      <c r="E262" s="21" t="s">
        <v>1638</v>
      </c>
      <c r="F262" s="11">
        <v>212.5</v>
      </c>
      <c r="G262" s="11">
        <v>3.9</v>
      </c>
      <c r="H262" s="11" t="s">
        <v>49</v>
      </c>
      <c r="I262" s="11" t="s">
        <v>52</v>
      </c>
      <c r="J262" s="11" t="s">
        <v>54</v>
      </c>
      <c r="K262" s="11" t="s">
        <v>53</v>
      </c>
      <c r="L262" s="11" t="s">
        <v>336</v>
      </c>
      <c r="M262" s="11" t="s">
        <v>191</v>
      </c>
      <c r="N262" s="11" t="s">
        <v>83</v>
      </c>
      <c r="O262" s="11" t="s">
        <v>132</v>
      </c>
      <c r="P262" s="11" t="s">
        <v>219</v>
      </c>
      <c r="Q262" s="11" t="s">
        <v>291</v>
      </c>
      <c r="R262" s="11" t="s">
        <v>36</v>
      </c>
    </row>
    <row r="263">
      <c r="A263" s="10">
        <v>46194.904183935185</v>
      </c>
      <c r="B263" s="11" t="s">
        <v>1382</v>
      </c>
      <c r="C263" s="11" t="s">
        <v>1380</v>
      </c>
      <c r="D263" s="11" t="s">
        <v>1381</v>
      </c>
      <c r="E263" s="21" t="s">
        <v>1643</v>
      </c>
      <c r="F263" s="11">
        <v>203.0</v>
      </c>
      <c r="G263" s="11">
        <v>3.35</v>
      </c>
      <c r="H263" s="11" t="s">
        <v>49</v>
      </c>
      <c r="I263" s="11" t="s">
        <v>52</v>
      </c>
      <c r="J263" s="11" t="s">
        <v>51</v>
      </c>
      <c r="K263" s="11" t="s">
        <v>293</v>
      </c>
      <c r="L263" s="11" t="s">
        <v>36</v>
      </c>
      <c r="M263" s="11" t="s">
        <v>54</v>
      </c>
      <c r="N263" s="11" t="s">
        <v>82</v>
      </c>
      <c r="O263" s="11" t="s">
        <v>132</v>
      </c>
    </row>
    <row r="264">
      <c r="A264" s="10">
        <v>46195.91229090278</v>
      </c>
      <c r="B264" s="11" t="s">
        <v>1484</v>
      </c>
      <c r="C264" s="11" t="s">
        <v>1482</v>
      </c>
      <c r="D264" s="11" t="s">
        <v>1483</v>
      </c>
      <c r="E264" s="21" t="s">
        <v>1646</v>
      </c>
      <c r="F264" s="11">
        <v>200.0</v>
      </c>
      <c r="G264" s="11">
        <v>3.75</v>
      </c>
      <c r="H264" s="11" t="s">
        <v>49</v>
      </c>
      <c r="I264" s="11" t="s">
        <v>52</v>
      </c>
      <c r="J264" s="11" t="s">
        <v>53</v>
      </c>
      <c r="K264" s="11" t="s">
        <v>364</v>
      </c>
      <c r="L264" s="11" t="s">
        <v>58</v>
      </c>
      <c r="M264" s="11" t="s">
        <v>55</v>
      </c>
      <c r="N264" s="11" t="s">
        <v>51</v>
      </c>
      <c r="O264" s="11" t="s">
        <v>73</v>
      </c>
      <c r="P264" s="11" t="s">
        <v>59</v>
      </c>
      <c r="Q264" s="11" t="s">
        <v>70</v>
      </c>
      <c r="R264" s="11" t="s">
        <v>171</v>
      </c>
    </row>
    <row r="265">
      <c r="A265" s="10">
        <v>46195.79715425926</v>
      </c>
      <c r="B265" s="11" t="s">
        <v>1374</v>
      </c>
      <c r="C265" s="11" t="s">
        <v>1372</v>
      </c>
      <c r="D265" s="11" t="s">
        <v>1373</v>
      </c>
      <c r="E265" s="21" t="s">
        <v>1649</v>
      </c>
      <c r="F265" s="11">
        <v>188.0</v>
      </c>
      <c r="G265" s="11">
        <v>3.734</v>
      </c>
      <c r="H265" s="11" t="s">
        <v>49</v>
      </c>
      <c r="I265" s="11" t="s">
        <v>52</v>
      </c>
      <c r="J265" s="11" t="s">
        <v>53</v>
      </c>
      <c r="K265" s="11" t="s">
        <v>169</v>
      </c>
      <c r="L265" s="11" t="s">
        <v>54</v>
      </c>
      <c r="M265" s="11" t="s">
        <v>85</v>
      </c>
      <c r="N265" s="11" t="s">
        <v>83</v>
      </c>
      <c r="O265" s="11" t="s">
        <v>66</v>
      </c>
      <c r="P265" s="11" t="s">
        <v>336</v>
      </c>
      <c r="Q265" s="11" t="s">
        <v>293</v>
      </c>
      <c r="R265" s="11" t="s">
        <v>82</v>
      </c>
    </row>
    <row r="266">
      <c r="A266" s="10">
        <v>46194.61966145833</v>
      </c>
      <c r="B266" s="11" t="s">
        <v>645</v>
      </c>
      <c r="C266" s="11" t="s">
        <v>642</v>
      </c>
      <c r="D266" s="11" t="s">
        <v>643</v>
      </c>
      <c r="E266" s="21" t="s">
        <v>1653</v>
      </c>
      <c r="F266" s="11">
        <v>182.5</v>
      </c>
      <c r="G266" s="11">
        <v>3.69</v>
      </c>
      <c r="H266" s="11" t="s">
        <v>49</v>
      </c>
      <c r="I266" s="11" t="s">
        <v>52</v>
      </c>
      <c r="J266" s="11" t="s">
        <v>336</v>
      </c>
      <c r="K266" s="11" t="s">
        <v>53</v>
      </c>
      <c r="L266" s="11" t="s">
        <v>36</v>
      </c>
      <c r="M266" s="11" t="s">
        <v>225</v>
      </c>
    </row>
    <row r="267">
      <c r="A267" s="10">
        <v>46192.49642261574</v>
      </c>
      <c r="B267" s="11" t="s">
        <v>562</v>
      </c>
      <c r="C267" s="11" t="s">
        <v>373</v>
      </c>
      <c r="D267" s="11" t="s">
        <v>561</v>
      </c>
      <c r="E267" s="21" t="s">
        <v>1658</v>
      </c>
      <c r="F267" s="11">
        <v>182.5</v>
      </c>
      <c r="G267" s="11">
        <v>3.763</v>
      </c>
      <c r="H267" s="11" t="s">
        <v>49</v>
      </c>
      <c r="I267" s="11" t="s">
        <v>52</v>
      </c>
      <c r="J267" s="11" t="s">
        <v>54</v>
      </c>
      <c r="K267" s="11" t="s">
        <v>53</v>
      </c>
      <c r="L267" s="11" t="s">
        <v>83</v>
      </c>
      <c r="M267" s="11" t="s">
        <v>305</v>
      </c>
      <c r="N267" s="11" t="s">
        <v>36</v>
      </c>
      <c r="O267" s="11" t="s">
        <v>235</v>
      </c>
      <c r="P267" s="11" t="s">
        <v>132</v>
      </c>
      <c r="Q267" s="11" t="s">
        <v>59</v>
      </c>
      <c r="R267" s="11" t="s">
        <v>207</v>
      </c>
    </row>
    <row r="268">
      <c r="A268" s="10">
        <v>46192.60489634259</v>
      </c>
      <c r="B268" s="11" t="s">
        <v>1040</v>
      </c>
      <c r="C268" s="11" t="s">
        <v>375</v>
      </c>
      <c r="D268" s="11" t="s">
        <v>1039</v>
      </c>
      <c r="E268" s="21" t="s">
        <v>1661</v>
      </c>
      <c r="F268" s="11">
        <v>178.0</v>
      </c>
      <c r="G268" s="11">
        <v>3.771</v>
      </c>
      <c r="H268" s="11" t="s">
        <v>49</v>
      </c>
      <c r="I268" s="11" t="s">
        <v>52</v>
      </c>
      <c r="J268" s="11" t="s">
        <v>54</v>
      </c>
      <c r="K268" s="11" t="s">
        <v>53</v>
      </c>
      <c r="L268" s="11" t="s">
        <v>51</v>
      </c>
      <c r="M268" s="11" t="s">
        <v>235</v>
      </c>
      <c r="N268" s="11" t="s">
        <v>83</v>
      </c>
      <c r="O268" s="11" t="s">
        <v>132</v>
      </c>
      <c r="P268" s="11" t="s">
        <v>36</v>
      </c>
      <c r="Q268" s="11" t="s">
        <v>59</v>
      </c>
      <c r="R268" s="11" t="s">
        <v>207</v>
      </c>
    </row>
    <row r="269">
      <c r="A269" s="10">
        <v>46192.53641803241</v>
      </c>
      <c r="B269" s="11" t="s">
        <v>637</v>
      </c>
      <c r="C269" s="11" t="s">
        <v>635</v>
      </c>
      <c r="D269" s="11" t="s">
        <v>636</v>
      </c>
      <c r="E269" s="21" t="s">
        <v>1666</v>
      </c>
      <c r="F269" s="11">
        <v>160.0</v>
      </c>
      <c r="G269" s="11">
        <v>3.737</v>
      </c>
      <c r="H269" s="11" t="s">
        <v>49</v>
      </c>
      <c r="I269" s="11" t="s">
        <v>52</v>
      </c>
      <c r="J269" s="11" t="s">
        <v>83</v>
      </c>
      <c r="K269" s="11" t="s">
        <v>59</v>
      </c>
      <c r="L269" s="11" t="s">
        <v>145</v>
      </c>
      <c r="M269" s="11" t="s">
        <v>54</v>
      </c>
      <c r="N269" s="11" t="s">
        <v>364</v>
      </c>
      <c r="O269" s="11" t="s">
        <v>291</v>
      </c>
      <c r="P269" s="11" t="s">
        <v>51</v>
      </c>
      <c r="Q269" s="11" t="s">
        <v>53</v>
      </c>
      <c r="R269" s="11" t="s">
        <v>197</v>
      </c>
    </row>
    <row r="270">
      <c r="A270" s="10">
        <v>46195.94348109954</v>
      </c>
      <c r="B270" s="11" t="s">
        <v>347</v>
      </c>
      <c r="C270" s="11" t="s">
        <v>141</v>
      </c>
      <c r="D270" s="11" t="s">
        <v>345</v>
      </c>
      <c r="F270" s="11">
        <v>149.0</v>
      </c>
      <c r="G270" s="11">
        <v>3.5</v>
      </c>
      <c r="H270" s="11" t="s">
        <v>49</v>
      </c>
      <c r="I270" s="11" t="s">
        <v>52</v>
      </c>
      <c r="J270" s="11" t="s">
        <v>293</v>
      </c>
      <c r="K270" s="11" t="s">
        <v>291</v>
      </c>
      <c r="L270" s="11" t="s">
        <v>82</v>
      </c>
      <c r="M270" s="11" t="s">
        <v>58</v>
      </c>
      <c r="N270" s="11" t="s">
        <v>126</v>
      </c>
      <c r="O270" s="11" t="s">
        <v>225</v>
      </c>
      <c r="P270" s="11" t="s">
        <v>53</v>
      </c>
      <c r="Q270" s="11" t="s">
        <v>336</v>
      </c>
      <c r="R270" s="11" t="s">
        <v>59</v>
      </c>
    </row>
    <row r="271">
      <c r="A271" s="10">
        <v>46193.73386474537</v>
      </c>
      <c r="B271" s="11" t="s">
        <v>1450</v>
      </c>
      <c r="C271" s="11" t="s">
        <v>1448</v>
      </c>
      <c r="D271" s="11" t="s">
        <v>1449</v>
      </c>
      <c r="E271" s="21" t="s">
        <v>1671</v>
      </c>
      <c r="F271" s="11">
        <v>148.0</v>
      </c>
      <c r="G271" s="11">
        <v>3.704</v>
      </c>
      <c r="H271" s="11" t="s">
        <v>49</v>
      </c>
      <c r="I271" s="11" t="s">
        <v>52</v>
      </c>
      <c r="J271" s="11" t="s">
        <v>235</v>
      </c>
      <c r="K271" s="11" t="s">
        <v>80</v>
      </c>
      <c r="L271" s="11" t="s">
        <v>291</v>
      </c>
      <c r="M271" s="11" t="s">
        <v>346</v>
      </c>
      <c r="N271" s="11" t="s">
        <v>82</v>
      </c>
      <c r="O271" s="11" t="s">
        <v>36</v>
      </c>
      <c r="P271" s="11" t="s">
        <v>207</v>
      </c>
      <c r="Q271" s="11" t="s">
        <v>110</v>
      </c>
      <c r="R271" s="11" t="s">
        <v>83</v>
      </c>
    </row>
    <row r="272">
      <c r="A272" s="10">
        <v>46193.808711944446</v>
      </c>
      <c r="B272" s="11" t="s">
        <v>445</v>
      </c>
      <c r="C272" s="11" t="s">
        <v>376</v>
      </c>
      <c r="D272" s="11" t="s">
        <v>444</v>
      </c>
      <c r="E272" s="21" t="s">
        <v>1675</v>
      </c>
      <c r="F272" s="11">
        <v>128.0</v>
      </c>
      <c r="G272" s="11">
        <v>3.65</v>
      </c>
      <c r="H272" s="11" t="s">
        <v>49</v>
      </c>
      <c r="I272" s="11" t="s">
        <v>52</v>
      </c>
      <c r="J272" s="11" t="s">
        <v>51</v>
      </c>
      <c r="K272" s="11" t="s">
        <v>36</v>
      </c>
      <c r="L272" s="11" t="s">
        <v>54</v>
      </c>
      <c r="M272" s="11" t="s">
        <v>59</v>
      </c>
      <c r="N272" s="11" t="s">
        <v>145</v>
      </c>
      <c r="O272" s="11" t="s">
        <v>53</v>
      </c>
      <c r="P272" s="11" t="s">
        <v>291</v>
      </c>
      <c r="Q272" s="11" t="s">
        <v>55</v>
      </c>
      <c r="R272" s="11" t="s">
        <v>219</v>
      </c>
    </row>
    <row r="273">
      <c r="A273" s="10">
        <v>46195.998664467596</v>
      </c>
      <c r="B273" s="11" t="s">
        <v>1342</v>
      </c>
      <c r="C273" s="11" t="s">
        <v>391</v>
      </c>
      <c r="D273" s="11" t="s">
        <v>1341</v>
      </c>
      <c r="E273" s="21" t="s">
        <v>1682</v>
      </c>
      <c r="F273" s="11">
        <v>316.5</v>
      </c>
      <c r="G273" s="11">
        <v>3.82</v>
      </c>
      <c r="H273" s="11" t="s">
        <v>49</v>
      </c>
      <c r="I273" s="11" t="s">
        <v>336</v>
      </c>
      <c r="J273" s="11" t="s">
        <v>293</v>
      </c>
      <c r="K273" s="11" t="s">
        <v>53</v>
      </c>
      <c r="L273" s="11" t="s">
        <v>36</v>
      </c>
      <c r="M273" s="11" t="s">
        <v>85</v>
      </c>
      <c r="N273" s="11" t="s">
        <v>54</v>
      </c>
      <c r="O273" s="11" t="s">
        <v>70</v>
      </c>
      <c r="P273" s="11" t="s">
        <v>341</v>
      </c>
      <c r="Q273" s="11" t="s">
        <v>207</v>
      </c>
      <c r="R273" s="11" t="s">
        <v>219</v>
      </c>
    </row>
    <row r="274">
      <c r="A274" s="10">
        <v>46195.80899675926</v>
      </c>
      <c r="B274" s="11" t="s">
        <v>472</v>
      </c>
      <c r="C274" s="11" t="s">
        <v>468</v>
      </c>
      <c r="D274" s="11" t="s">
        <v>471</v>
      </c>
      <c r="E274" s="21" t="s">
        <v>1687</v>
      </c>
      <c r="F274" s="11">
        <v>250.0</v>
      </c>
      <c r="G274" s="11">
        <v>3.9</v>
      </c>
      <c r="H274" s="11" t="s">
        <v>49</v>
      </c>
      <c r="I274" s="11" t="s">
        <v>336</v>
      </c>
      <c r="J274" s="11" t="s">
        <v>53</v>
      </c>
      <c r="K274" s="11" t="s">
        <v>341</v>
      </c>
      <c r="L274" s="11" t="s">
        <v>148</v>
      </c>
      <c r="M274" s="11" t="s">
        <v>70</v>
      </c>
      <c r="N274" s="11" t="s">
        <v>34</v>
      </c>
      <c r="O274" s="11" t="s">
        <v>219</v>
      </c>
      <c r="P274" s="11" t="s">
        <v>305</v>
      </c>
      <c r="Q274" s="11" t="s">
        <v>132</v>
      </c>
    </row>
    <row r="275">
      <c r="A275" s="10">
        <v>46195.694206631946</v>
      </c>
      <c r="B275" s="11" t="s">
        <v>553</v>
      </c>
      <c r="C275" s="11" t="s">
        <v>251</v>
      </c>
      <c r="D275" s="11" t="s">
        <v>552</v>
      </c>
      <c r="E275" s="21" t="s">
        <v>1694</v>
      </c>
      <c r="F275" s="11">
        <v>236.0</v>
      </c>
      <c r="G275" s="11">
        <v>3.968</v>
      </c>
      <c r="H275" s="11" t="s">
        <v>49</v>
      </c>
      <c r="I275" s="11" t="s">
        <v>336</v>
      </c>
      <c r="J275" s="11" t="s">
        <v>291</v>
      </c>
      <c r="K275" s="11" t="s">
        <v>82</v>
      </c>
      <c r="L275" s="11" t="s">
        <v>207</v>
      </c>
      <c r="M275" s="11" t="s">
        <v>53</v>
      </c>
      <c r="N275" s="11" t="s">
        <v>219</v>
      </c>
      <c r="O275" s="11" t="s">
        <v>305</v>
      </c>
      <c r="P275" s="11" t="s">
        <v>293</v>
      </c>
      <c r="Q275" s="11" t="s">
        <v>70</v>
      </c>
      <c r="R275" s="11" t="s">
        <v>73</v>
      </c>
    </row>
    <row r="276">
      <c r="A276" s="10">
        <v>46192.82474707176</v>
      </c>
      <c r="B276" s="11" t="s">
        <v>1470</v>
      </c>
      <c r="C276" s="11" t="s">
        <v>386</v>
      </c>
      <c r="D276" s="11" t="s">
        <v>1469</v>
      </c>
      <c r="E276" s="21" t="s">
        <v>1699</v>
      </c>
      <c r="F276" s="11">
        <v>216.0</v>
      </c>
      <c r="G276" s="11">
        <v>3.87</v>
      </c>
      <c r="H276" s="11" t="s">
        <v>49</v>
      </c>
      <c r="I276" s="11" t="s">
        <v>336</v>
      </c>
      <c r="J276" s="11" t="s">
        <v>105</v>
      </c>
      <c r="K276" s="11" t="s">
        <v>110</v>
      </c>
      <c r="L276" s="11" t="s">
        <v>53</v>
      </c>
      <c r="M276" s="11" t="s">
        <v>291</v>
      </c>
      <c r="N276" s="11" t="s">
        <v>109</v>
      </c>
      <c r="O276" s="11" t="s">
        <v>225</v>
      </c>
      <c r="P276" s="11" t="s">
        <v>70</v>
      </c>
      <c r="Q276" s="11" t="s">
        <v>36</v>
      </c>
      <c r="R276" s="11" t="s">
        <v>145</v>
      </c>
    </row>
    <row r="277">
      <c r="A277" s="10">
        <v>46195.94092673611</v>
      </c>
      <c r="B277" s="11" t="s">
        <v>1459</v>
      </c>
      <c r="C277" s="11" t="s">
        <v>152</v>
      </c>
      <c r="D277" s="11" t="s">
        <v>1458</v>
      </c>
      <c r="E277" s="21" t="s">
        <v>1704</v>
      </c>
      <c r="F277" s="11">
        <v>212.0</v>
      </c>
      <c r="G277" s="11">
        <v>3.385</v>
      </c>
      <c r="H277" s="11" t="s">
        <v>49</v>
      </c>
      <c r="I277" s="11" t="s">
        <v>336</v>
      </c>
      <c r="J277" s="11" t="s">
        <v>291</v>
      </c>
      <c r="K277" s="11" t="s">
        <v>293</v>
      </c>
      <c r="L277" s="11" t="s">
        <v>54</v>
      </c>
      <c r="M277" s="11" t="s">
        <v>126</v>
      </c>
      <c r="N277" s="11" t="s">
        <v>289</v>
      </c>
      <c r="O277" s="11" t="s">
        <v>85</v>
      </c>
      <c r="P277" s="11" t="s">
        <v>51</v>
      </c>
      <c r="Q277" s="11" t="s">
        <v>82</v>
      </c>
    </row>
    <row r="278">
      <c r="A278" s="10">
        <v>46192.73630377315</v>
      </c>
      <c r="B278" s="11" t="s">
        <v>423</v>
      </c>
      <c r="C278" s="11" t="s">
        <v>388</v>
      </c>
      <c r="D278" s="11" t="s">
        <v>422</v>
      </c>
      <c r="E278" s="21" t="s">
        <v>1711</v>
      </c>
      <c r="F278" s="11">
        <v>201.0</v>
      </c>
      <c r="G278" s="11">
        <v>4.0</v>
      </c>
      <c r="H278" s="11" t="s">
        <v>49</v>
      </c>
      <c r="I278" s="11" t="s">
        <v>336</v>
      </c>
      <c r="J278" s="11" t="s">
        <v>54</v>
      </c>
      <c r="K278" s="11" t="s">
        <v>291</v>
      </c>
      <c r="L278" s="11" t="s">
        <v>235</v>
      </c>
      <c r="M278" s="11" t="s">
        <v>51</v>
      </c>
      <c r="N278" s="11" t="s">
        <v>191</v>
      </c>
      <c r="O278" s="11" t="s">
        <v>289</v>
      </c>
      <c r="P278" s="11" t="s">
        <v>341</v>
      </c>
      <c r="Q278" s="11" t="s">
        <v>293</v>
      </c>
      <c r="R278" s="11" t="s">
        <v>36</v>
      </c>
    </row>
    <row r="279">
      <c r="A279" s="10">
        <v>46195.85945487268</v>
      </c>
      <c r="B279" s="11" t="s">
        <v>409</v>
      </c>
      <c r="C279" s="11" t="s">
        <v>328</v>
      </c>
      <c r="D279" s="11" t="s">
        <v>408</v>
      </c>
      <c r="E279" s="21" t="s">
        <v>1718</v>
      </c>
      <c r="F279" s="11">
        <v>194.0</v>
      </c>
      <c r="G279" s="11">
        <v>3.88</v>
      </c>
      <c r="H279" s="11" t="s">
        <v>49</v>
      </c>
      <c r="I279" s="11" t="s">
        <v>336</v>
      </c>
      <c r="J279" s="11" t="s">
        <v>291</v>
      </c>
      <c r="K279" s="11" t="s">
        <v>54</v>
      </c>
      <c r="L279" s="11" t="s">
        <v>132</v>
      </c>
      <c r="M279" s="11" t="s">
        <v>105</v>
      </c>
      <c r="N279" s="11" t="s">
        <v>289</v>
      </c>
      <c r="O279" s="11" t="s">
        <v>53</v>
      </c>
      <c r="P279" s="11" t="s">
        <v>80</v>
      </c>
      <c r="Q279" s="11" t="s">
        <v>293</v>
      </c>
      <c r="R279" s="11" t="s">
        <v>235</v>
      </c>
    </row>
    <row r="280">
      <c r="A280" s="10">
        <v>46195.94490646991</v>
      </c>
      <c r="B280" s="11" t="s">
        <v>457</v>
      </c>
      <c r="C280" s="11" t="s">
        <v>455</v>
      </c>
      <c r="D280" s="11" t="s">
        <v>456</v>
      </c>
      <c r="E280" s="21" t="s">
        <v>1724</v>
      </c>
      <c r="F280" s="11">
        <v>193.0</v>
      </c>
      <c r="G280" s="11">
        <v>3.8</v>
      </c>
      <c r="H280" s="11" t="s">
        <v>49</v>
      </c>
      <c r="I280" s="11" t="s">
        <v>336</v>
      </c>
      <c r="J280" s="11" t="s">
        <v>53</v>
      </c>
      <c r="K280" s="11" t="s">
        <v>291</v>
      </c>
      <c r="L280" s="11" t="s">
        <v>293</v>
      </c>
      <c r="M280" s="11" t="s">
        <v>51</v>
      </c>
      <c r="N280" s="11" t="s">
        <v>54</v>
      </c>
      <c r="O280" s="11" t="s">
        <v>52</v>
      </c>
      <c r="P280" s="11" t="s">
        <v>59</v>
      </c>
      <c r="Q280" s="11" t="s">
        <v>289</v>
      </c>
      <c r="R280" s="11" t="s">
        <v>219</v>
      </c>
    </row>
    <row r="281">
      <c r="A281" s="10">
        <v>46195.88699315972</v>
      </c>
      <c r="B281" s="11" t="s">
        <v>1479</v>
      </c>
      <c r="C281" s="11" t="s">
        <v>1477</v>
      </c>
      <c r="D281" s="11" t="s">
        <v>1478</v>
      </c>
      <c r="E281" s="21" t="s">
        <v>1728</v>
      </c>
      <c r="F281" s="11">
        <v>188.5</v>
      </c>
      <c r="G281" s="11">
        <v>3.61</v>
      </c>
      <c r="H281" s="11" t="s">
        <v>49</v>
      </c>
      <c r="I281" s="11" t="s">
        <v>336</v>
      </c>
      <c r="J281" s="11" t="s">
        <v>293</v>
      </c>
      <c r="K281" s="11" t="s">
        <v>52</v>
      </c>
      <c r="L281" s="11" t="s">
        <v>34</v>
      </c>
      <c r="M281" s="11" t="s">
        <v>364</v>
      </c>
      <c r="N281" s="11" t="s">
        <v>53</v>
      </c>
      <c r="O281" s="11" t="s">
        <v>59</v>
      </c>
      <c r="P281" s="11" t="s">
        <v>54</v>
      </c>
      <c r="Q281" s="11" t="s">
        <v>83</v>
      </c>
      <c r="R281" s="11" t="s">
        <v>80</v>
      </c>
    </row>
    <row r="282">
      <c r="A282" s="10">
        <v>46195.99001271991</v>
      </c>
      <c r="B282" s="11" t="s">
        <v>1308</v>
      </c>
      <c r="C282" s="11" t="s">
        <v>253</v>
      </c>
      <c r="D282" s="11" t="s">
        <v>1307</v>
      </c>
      <c r="E282" s="21" t="s">
        <v>1734</v>
      </c>
      <c r="F282" s="11">
        <v>188.0</v>
      </c>
      <c r="G282" s="11">
        <v>3.721</v>
      </c>
      <c r="H282" s="11" t="s">
        <v>49</v>
      </c>
      <c r="I282" s="11" t="s">
        <v>336</v>
      </c>
      <c r="J282" s="11" t="s">
        <v>85</v>
      </c>
      <c r="K282" s="11" t="s">
        <v>207</v>
      </c>
      <c r="L282" s="11" t="s">
        <v>54</v>
      </c>
      <c r="M282" s="11" t="s">
        <v>225</v>
      </c>
      <c r="N282" s="11" t="s">
        <v>59</v>
      </c>
      <c r="O282" s="11" t="s">
        <v>55</v>
      </c>
      <c r="P282" s="11" t="s">
        <v>66</v>
      </c>
      <c r="Q282" s="11" t="s">
        <v>105</v>
      </c>
      <c r="R282" s="11" t="s">
        <v>109</v>
      </c>
    </row>
    <row r="283">
      <c r="A283" s="10">
        <v>46195.6951209375</v>
      </c>
      <c r="B283" s="11" t="s">
        <v>1320</v>
      </c>
      <c r="C283" s="11" t="s">
        <v>389</v>
      </c>
      <c r="D283" s="11" t="s">
        <v>1319</v>
      </c>
      <c r="E283" s="21" t="s">
        <v>1741</v>
      </c>
      <c r="F283" s="11">
        <v>186.0</v>
      </c>
      <c r="G283" s="11">
        <v>4.0</v>
      </c>
      <c r="H283" s="11" t="s">
        <v>49</v>
      </c>
      <c r="I283" s="11" t="s">
        <v>336</v>
      </c>
      <c r="J283" s="11" t="s">
        <v>291</v>
      </c>
      <c r="K283" s="11" t="s">
        <v>82</v>
      </c>
      <c r="L283" s="11" t="s">
        <v>52</v>
      </c>
      <c r="M283" s="11" t="s">
        <v>54</v>
      </c>
      <c r="N283" s="11" t="s">
        <v>289</v>
      </c>
      <c r="O283" s="11" t="s">
        <v>53</v>
      </c>
      <c r="P283" s="11" t="s">
        <v>34</v>
      </c>
      <c r="Q283" s="11" t="s">
        <v>85</v>
      </c>
      <c r="R283" s="11" t="s">
        <v>51</v>
      </c>
    </row>
    <row r="284">
      <c r="A284" s="10">
        <v>46195.9831715162</v>
      </c>
      <c r="B284" s="11" t="s">
        <v>1269</v>
      </c>
      <c r="C284" s="11" t="s">
        <v>327</v>
      </c>
      <c r="D284" s="11" t="s">
        <v>1268</v>
      </c>
      <c r="E284" s="21" t="s">
        <v>1744</v>
      </c>
      <c r="F284" s="11">
        <v>181.0</v>
      </c>
      <c r="G284" s="11">
        <v>3.86</v>
      </c>
      <c r="H284" s="11" t="s">
        <v>49</v>
      </c>
      <c r="I284" s="11" t="s">
        <v>336</v>
      </c>
      <c r="J284" s="11" t="s">
        <v>132</v>
      </c>
      <c r="K284" s="11" t="s">
        <v>54</v>
      </c>
      <c r="L284" s="11" t="s">
        <v>291</v>
      </c>
      <c r="M284" s="11" t="s">
        <v>289</v>
      </c>
      <c r="N284" s="11" t="s">
        <v>105</v>
      </c>
      <c r="O284" s="11" t="s">
        <v>235</v>
      </c>
      <c r="P284" s="11" t="s">
        <v>166</v>
      </c>
      <c r="Q284" s="11" t="s">
        <v>171</v>
      </c>
      <c r="R284" s="11" t="s">
        <v>110</v>
      </c>
    </row>
    <row r="285">
      <c r="A285" s="10">
        <v>46192.52533038195</v>
      </c>
      <c r="B285" s="11" t="s">
        <v>1521</v>
      </c>
      <c r="C285" s="11" t="s">
        <v>326</v>
      </c>
      <c r="D285" s="11" t="s">
        <v>1520</v>
      </c>
      <c r="E285" s="21" t="s">
        <v>1751</v>
      </c>
      <c r="F285" s="11">
        <v>173.0</v>
      </c>
      <c r="G285" s="11">
        <v>3.95</v>
      </c>
      <c r="H285" s="11" t="s">
        <v>49</v>
      </c>
      <c r="I285" s="11" t="s">
        <v>336</v>
      </c>
      <c r="J285" s="11" t="s">
        <v>54</v>
      </c>
      <c r="K285" s="11" t="s">
        <v>225</v>
      </c>
      <c r="L285" s="11" t="s">
        <v>80</v>
      </c>
      <c r="M285" s="11" t="s">
        <v>85</v>
      </c>
      <c r="N285" s="11" t="s">
        <v>132</v>
      </c>
      <c r="O285" s="11" t="s">
        <v>291</v>
      </c>
      <c r="P285" s="11" t="s">
        <v>341</v>
      </c>
      <c r="Q285" s="11" t="s">
        <v>346</v>
      </c>
      <c r="R285" s="11" t="s">
        <v>289</v>
      </c>
    </row>
    <row r="286">
      <c r="A286" s="10">
        <v>46193.928117662035</v>
      </c>
      <c r="B286" s="11" t="s">
        <v>1504</v>
      </c>
      <c r="C286" s="11" t="s">
        <v>1502</v>
      </c>
      <c r="D286" s="11" t="s">
        <v>1756</v>
      </c>
      <c r="E286" s="21" t="s">
        <v>1757</v>
      </c>
      <c r="F286" s="11">
        <v>171.5</v>
      </c>
      <c r="G286" s="11">
        <v>3.2</v>
      </c>
      <c r="H286" s="11" t="s">
        <v>49</v>
      </c>
      <c r="I286" s="11" t="s">
        <v>336</v>
      </c>
      <c r="J286" s="11" t="s">
        <v>291</v>
      </c>
      <c r="K286" s="11" t="s">
        <v>54</v>
      </c>
      <c r="L286" s="11" t="s">
        <v>235</v>
      </c>
      <c r="M286" s="11" t="s">
        <v>53</v>
      </c>
    </row>
    <row r="287">
      <c r="A287" s="10">
        <v>46195.99120849537</v>
      </c>
      <c r="B287" s="11" t="s">
        <v>1523</v>
      </c>
      <c r="C287" s="11" t="s">
        <v>1519</v>
      </c>
      <c r="D287" s="11" t="s">
        <v>1522</v>
      </c>
      <c r="E287" s="21" t="s">
        <v>1762</v>
      </c>
      <c r="F287" s="11">
        <v>166.0</v>
      </c>
      <c r="G287" s="11">
        <v>3.89</v>
      </c>
      <c r="H287" s="11" t="s">
        <v>49</v>
      </c>
      <c r="I287" s="11" t="s">
        <v>336</v>
      </c>
      <c r="J287" s="11" t="s">
        <v>293</v>
      </c>
      <c r="K287" s="11" t="s">
        <v>53</v>
      </c>
      <c r="L287" s="11" t="s">
        <v>51</v>
      </c>
      <c r="M287" s="11" t="s">
        <v>291</v>
      </c>
      <c r="N287" s="11" t="s">
        <v>83</v>
      </c>
      <c r="O287" s="11" t="s">
        <v>341</v>
      </c>
      <c r="P287" s="11" t="s">
        <v>235</v>
      </c>
      <c r="Q287" s="11" t="s">
        <v>36</v>
      </c>
      <c r="R287" s="11" t="s">
        <v>80</v>
      </c>
    </row>
    <row r="288">
      <c r="A288" s="10">
        <v>46191.95946475695</v>
      </c>
      <c r="B288" s="11" t="s">
        <v>1500</v>
      </c>
      <c r="C288" s="11" t="s">
        <v>385</v>
      </c>
      <c r="D288" s="11" t="s">
        <v>1499</v>
      </c>
      <c r="E288" s="21" t="s">
        <v>1770</v>
      </c>
      <c r="F288" s="11">
        <v>157.0</v>
      </c>
      <c r="G288" s="11">
        <v>3.99</v>
      </c>
      <c r="H288" s="11" t="s">
        <v>49</v>
      </c>
      <c r="I288" s="11" t="s">
        <v>336</v>
      </c>
      <c r="J288" s="11" t="s">
        <v>289</v>
      </c>
      <c r="K288" s="11" t="s">
        <v>293</v>
      </c>
      <c r="L288" s="11" t="s">
        <v>225</v>
      </c>
      <c r="M288" s="11" t="s">
        <v>66</v>
      </c>
      <c r="N288" s="11" t="s">
        <v>82</v>
      </c>
      <c r="O288" s="11" t="s">
        <v>105</v>
      </c>
      <c r="P288" s="11" t="s">
        <v>291</v>
      </c>
      <c r="Q288" s="11" t="s">
        <v>70</v>
      </c>
      <c r="R288" s="11" t="s">
        <v>219</v>
      </c>
    </row>
    <row r="289">
      <c r="A289" s="10">
        <v>46190.99883820602</v>
      </c>
      <c r="B289" s="11" t="s">
        <v>1527</v>
      </c>
      <c r="C289" s="11" t="s">
        <v>1525</v>
      </c>
      <c r="D289" s="11" t="s">
        <v>1526</v>
      </c>
      <c r="E289" s="21" t="s">
        <v>1775</v>
      </c>
      <c r="F289" s="11">
        <v>122.0</v>
      </c>
      <c r="G289" s="11">
        <v>3.64</v>
      </c>
      <c r="H289" s="11" t="s">
        <v>49</v>
      </c>
      <c r="I289" s="11" t="s">
        <v>336</v>
      </c>
      <c r="J289" s="11" t="s">
        <v>225</v>
      </c>
      <c r="K289" s="11" t="s">
        <v>207</v>
      </c>
      <c r="L289" s="11" t="s">
        <v>291</v>
      </c>
      <c r="M289" s="11" t="s">
        <v>132</v>
      </c>
      <c r="N289" s="11" t="s">
        <v>105</v>
      </c>
      <c r="O289" s="11" t="s">
        <v>219</v>
      </c>
      <c r="P289" s="11" t="s">
        <v>305</v>
      </c>
      <c r="Q289" s="11" t="s">
        <v>191</v>
      </c>
      <c r="R289" s="11" t="s">
        <v>83</v>
      </c>
    </row>
    <row r="290">
      <c r="A290" s="10">
        <v>46192.566686087965</v>
      </c>
      <c r="B290" s="11" t="s">
        <v>1487</v>
      </c>
      <c r="C290" s="11" t="s">
        <v>329</v>
      </c>
      <c r="D290" s="11" t="s">
        <v>1486</v>
      </c>
      <c r="E290" s="21" t="s">
        <v>1780</v>
      </c>
      <c r="F290" s="11">
        <v>192.5</v>
      </c>
      <c r="G290" s="11">
        <v>3.86</v>
      </c>
      <c r="H290" s="11" t="s">
        <v>49</v>
      </c>
      <c r="I290" s="11" t="s">
        <v>341</v>
      </c>
      <c r="J290" s="11" t="s">
        <v>346</v>
      </c>
      <c r="K290" s="11" t="s">
        <v>336</v>
      </c>
      <c r="L290" s="11" t="s">
        <v>132</v>
      </c>
      <c r="M290" s="11" t="s">
        <v>219</v>
      </c>
      <c r="N290" s="11" t="s">
        <v>293</v>
      </c>
      <c r="O290" s="11" t="s">
        <v>289</v>
      </c>
      <c r="P290" s="11" t="s">
        <v>34</v>
      </c>
      <c r="Q290" s="11" t="s">
        <v>109</v>
      </c>
      <c r="R290" s="11" t="s">
        <v>323</v>
      </c>
    </row>
    <row r="291">
      <c r="A291" s="10">
        <v>46195.90231493056</v>
      </c>
      <c r="B291" s="11" t="s">
        <v>1457</v>
      </c>
      <c r="C291" s="11" t="s">
        <v>135</v>
      </c>
      <c r="D291" s="11" t="s">
        <v>1456</v>
      </c>
      <c r="E291" s="21" t="s">
        <v>1783</v>
      </c>
      <c r="F291" s="11">
        <v>185.5</v>
      </c>
      <c r="G291" s="11">
        <v>3.71</v>
      </c>
      <c r="H291" s="11" t="s">
        <v>49</v>
      </c>
      <c r="I291" s="11" t="s">
        <v>341</v>
      </c>
      <c r="J291" s="11" t="s">
        <v>36</v>
      </c>
      <c r="K291" s="11" t="s">
        <v>126</v>
      </c>
      <c r="L291" s="11" t="s">
        <v>293</v>
      </c>
      <c r="M291" s="11" t="s">
        <v>70</v>
      </c>
      <c r="N291" s="11" t="s">
        <v>219</v>
      </c>
      <c r="O291" s="11" t="s">
        <v>235</v>
      </c>
      <c r="P291" s="11" t="s">
        <v>110</v>
      </c>
      <c r="Q291" s="11" t="s">
        <v>346</v>
      </c>
      <c r="R291" s="11" t="s">
        <v>82</v>
      </c>
    </row>
    <row r="292">
      <c r="A292" s="10">
        <v>46192.43364895834</v>
      </c>
      <c r="B292" s="11" t="s">
        <v>626</v>
      </c>
      <c r="C292" s="11" t="s">
        <v>618</v>
      </c>
      <c r="D292" s="11" t="s">
        <v>624</v>
      </c>
      <c r="E292" s="21" t="s">
        <v>1790</v>
      </c>
      <c r="F292" s="11">
        <v>245.5</v>
      </c>
      <c r="G292" s="11">
        <v>3.906</v>
      </c>
      <c r="H292" s="11" t="s">
        <v>49</v>
      </c>
      <c r="I292" s="11" t="s">
        <v>323</v>
      </c>
      <c r="J292" s="11" t="s">
        <v>273</v>
      </c>
      <c r="K292" s="11" t="s">
        <v>225</v>
      </c>
      <c r="L292" s="11" t="s">
        <v>110</v>
      </c>
      <c r="M292" s="11" t="s">
        <v>54</v>
      </c>
      <c r="N292" s="11" t="s">
        <v>80</v>
      </c>
      <c r="O292" s="11" t="s">
        <v>60</v>
      </c>
      <c r="P292" s="11" t="s">
        <v>219</v>
      </c>
      <c r="Q292" s="11" t="s">
        <v>83</v>
      </c>
      <c r="R292" s="11" t="s">
        <v>191</v>
      </c>
    </row>
    <row r="293">
      <c r="A293" s="10">
        <v>46194.67249795139</v>
      </c>
      <c r="B293" s="11" t="s">
        <v>928</v>
      </c>
      <c r="C293" s="11" t="s">
        <v>920</v>
      </c>
      <c r="D293" s="11" t="s">
        <v>926</v>
      </c>
      <c r="E293" s="21" t="s">
        <v>1796</v>
      </c>
      <c r="F293" s="11">
        <v>182.0</v>
      </c>
      <c r="G293" s="11">
        <v>3.79</v>
      </c>
      <c r="H293" s="11" t="s">
        <v>49</v>
      </c>
      <c r="I293" s="11" t="s">
        <v>323</v>
      </c>
      <c r="J293" s="11" t="s">
        <v>83</v>
      </c>
      <c r="K293" s="11" t="s">
        <v>82</v>
      </c>
      <c r="L293" s="11" t="s">
        <v>197</v>
      </c>
      <c r="M293" s="11" t="s">
        <v>207</v>
      </c>
      <c r="N293" s="11" t="s">
        <v>73</v>
      </c>
      <c r="O293" s="11" t="s">
        <v>60</v>
      </c>
      <c r="P293" s="11" t="s">
        <v>145</v>
      </c>
      <c r="Q293" s="11" t="s">
        <v>110</v>
      </c>
      <c r="R293" s="11" t="s">
        <v>171</v>
      </c>
    </row>
    <row r="294">
      <c r="A294" s="10">
        <v>46193.99260413194</v>
      </c>
      <c r="B294" s="11" t="s">
        <v>608</v>
      </c>
      <c r="C294" s="11" t="s">
        <v>605</v>
      </c>
      <c r="D294" s="11" t="s">
        <v>607</v>
      </c>
      <c r="E294" s="21" t="s">
        <v>1803</v>
      </c>
      <c r="F294" s="11">
        <v>160.0</v>
      </c>
      <c r="G294" s="11">
        <v>3.765</v>
      </c>
      <c r="H294" s="11" t="s">
        <v>49</v>
      </c>
      <c r="I294" s="11" t="s">
        <v>323</v>
      </c>
      <c r="J294" s="11" t="s">
        <v>36</v>
      </c>
      <c r="K294" s="11" t="s">
        <v>169</v>
      </c>
      <c r="L294" s="11" t="s">
        <v>109</v>
      </c>
      <c r="M294" s="11" t="s">
        <v>191</v>
      </c>
    </row>
    <row r="295">
      <c r="A295" s="10">
        <v>46195.91370428241</v>
      </c>
      <c r="B295" s="11" t="s">
        <v>108</v>
      </c>
      <c r="C295" s="11" t="s">
        <v>72</v>
      </c>
      <c r="D295" s="11" t="s">
        <v>107</v>
      </c>
      <c r="E295" s="21" t="s">
        <v>1806</v>
      </c>
      <c r="F295" s="11">
        <v>128.0</v>
      </c>
      <c r="G295" s="11">
        <v>2.61</v>
      </c>
      <c r="H295" s="11" t="s">
        <v>49</v>
      </c>
      <c r="I295" s="11" t="s">
        <v>323</v>
      </c>
      <c r="J295" s="11" t="s">
        <v>145</v>
      </c>
      <c r="K295" s="11" t="s">
        <v>109</v>
      </c>
      <c r="L295" s="11" t="s">
        <v>191</v>
      </c>
      <c r="M295" s="11" t="s">
        <v>54</v>
      </c>
      <c r="N295" s="11" t="s">
        <v>235</v>
      </c>
      <c r="O295" s="11" t="s">
        <v>207</v>
      </c>
      <c r="P295" s="11" t="s">
        <v>52</v>
      </c>
      <c r="Q295" s="11" t="s">
        <v>51</v>
      </c>
      <c r="R295" s="11" t="s">
        <v>83</v>
      </c>
    </row>
    <row r="296">
      <c r="A296" s="10">
        <v>46192.81446677083</v>
      </c>
      <c r="B296" s="11" t="s">
        <v>501</v>
      </c>
      <c r="C296" s="11" t="s">
        <v>403</v>
      </c>
      <c r="D296" s="11" t="s">
        <v>500</v>
      </c>
      <c r="E296" s="21" t="s">
        <v>1811</v>
      </c>
      <c r="F296" s="11">
        <v>187.5</v>
      </c>
      <c r="G296" s="11">
        <v>2.857</v>
      </c>
      <c r="H296" s="11" t="s">
        <v>49</v>
      </c>
      <c r="I296" s="11" t="s">
        <v>60</v>
      </c>
      <c r="J296" s="11" t="s">
        <v>273</v>
      </c>
      <c r="K296" s="11" t="s">
        <v>56</v>
      </c>
      <c r="L296" s="11" t="s">
        <v>145</v>
      </c>
      <c r="M296" s="11" t="s">
        <v>110</v>
      </c>
      <c r="N296" s="11" t="s">
        <v>105</v>
      </c>
      <c r="O296" s="11" t="s">
        <v>55</v>
      </c>
      <c r="P296" s="11" t="s">
        <v>166</v>
      </c>
      <c r="Q296" s="11" t="s">
        <v>148</v>
      </c>
      <c r="R296" s="11" t="s">
        <v>66</v>
      </c>
    </row>
    <row r="297">
      <c r="A297" s="10">
        <v>46195.99112623843</v>
      </c>
      <c r="B297" s="11" t="s">
        <v>1555</v>
      </c>
      <c r="C297" s="11" t="s">
        <v>404</v>
      </c>
      <c r="D297" s="11" t="s">
        <v>1554</v>
      </c>
      <c r="E297" s="21" t="s">
        <v>1816</v>
      </c>
      <c r="F297" s="11">
        <v>178.0</v>
      </c>
      <c r="G297" s="11">
        <v>2.98</v>
      </c>
      <c r="H297" s="11" t="s">
        <v>49</v>
      </c>
      <c r="I297" s="11" t="s">
        <v>60</v>
      </c>
      <c r="J297" s="11" t="s">
        <v>145</v>
      </c>
      <c r="K297" s="11" t="s">
        <v>166</v>
      </c>
      <c r="L297" s="11" t="s">
        <v>55</v>
      </c>
      <c r="M297" s="11" t="s">
        <v>110</v>
      </c>
      <c r="N297" s="11" t="s">
        <v>56</v>
      </c>
      <c r="O297" s="11" t="s">
        <v>191</v>
      </c>
      <c r="P297" s="11" t="s">
        <v>105</v>
      </c>
      <c r="Q297" s="11" t="s">
        <v>126</v>
      </c>
    </row>
    <row r="298">
      <c r="A298" s="10">
        <v>46190.71435203704</v>
      </c>
      <c r="B298" s="11" t="s">
        <v>723</v>
      </c>
      <c r="C298" s="11" t="s">
        <v>402</v>
      </c>
      <c r="D298" s="11" t="s">
        <v>722</v>
      </c>
      <c r="E298" s="21" t="s">
        <v>1821</v>
      </c>
      <c r="F298" s="11">
        <v>172.0</v>
      </c>
      <c r="G298" s="11">
        <v>3.855</v>
      </c>
      <c r="H298" s="11" t="s">
        <v>49</v>
      </c>
      <c r="I298" s="11" t="s">
        <v>60</v>
      </c>
      <c r="J298" s="11" t="s">
        <v>225</v>
      </c>
      <c r="K298" s="11" t="s">
        <v>83</v>
      </c>
      <c r="L298" s="11" t="s">
        <v>110</v>
      </c>
      <c r="M298" s="11" t="s">
        <v>36</v>
      </c>
      <c r="N298" s="11" t="s">
        <v>273</v>
      </c>
      <c r="O298" s="11" t="s">
        <v>197</v>
      </c>
      <c r="P298" s="11" t="s">
        <v>323</v>
      </c>
      <c r="Q298" s="11" t="s">
        <v>341</v>
      </c>
      <c r="R298" s="11" t="s">
        <v>207</v>
      </c>
    </row>
    <row r="299">
      <c r="A299" s="10">
        <v>46195.99324034722</v>
      </c>
      <c r="B299" s="11" t="s">
        <v>1513</v>
      </c>
      <c r="C299" s="11" t="s">
        <v>1511</v>
      </c>
      <c r="D299" s="11" t="s">
        <v>1512</v>
      </c>
      <c r="E299" s="21" t="s">
        <v>1825</v>
      </c>
      <c r="F299" s="11">
        <v>362.4</v>
      </c>
      <c r="G299" s="11">
        <v>3.775</v>
      </c>
      <c r="H299" s="11" t="s">
        <v>49</v>
      </c>
      <c r="I299" s="11" t="s">
        <v>171</v>
      </c>
      <c r="J299" s="11" t="s">
        <v>73</v>
      </c>
      <c r="K299" s="11" t="s">
        <v>80</v>
      </c>
      <c r="L299" s="11" t="s">
        <v>169</v>
      </c>
      <c r="M299" s="11" t="s">
        <v>52</v>
      </c>
      <c r="N299" s="11" t="s">
        <v>109</v>
      </c>
      <c r="O299" s="11" t="s">
        <v>235</v>
      </c>
      <c r="P299" s="11" t="s">
        <v>219</v>
      </c>
      <c r="Q299" s="11" t="s">
        <v>66</v>
      </c>
      <c r="R299" s="11" t="s">
        <v>51</v>
      </c>
    </row>
    <row r="300">
      <c r="A300" s="10">
        <v>46190.88681471065</v>
      </c>
      <c r="B300" s="11" t="s">
        <v>1516</v>
      </c>
      <c r="C300" s="11" t="s">
        <v>200</v>
      </c>
      <c r="D300" s="11" t="s">
        <v>1515</v>
      </c>
      <c r="E300" s="21" t="s">
        <v>1829</v>
      </c>
      <c r="F300" s="11">
        <v>231.5</v>
      </c>
      <c r="G300" s="11">
        <v>3.92</v>
      </c>
      <c r="H300" s="11" t="s">
        <v>49</v>
      </c>
      <c r="I300" s="11" t="s">
        <v>171</v>
      </c>
      <c r="J300" s="11" t="s">
        <v>166</v>
      </c>
      <c r="K300" s="11" t="s">
        <v>197</v>
      </c>
      <c r="L300" s="11" t="s">
        <v>191</v>
      </c>
      <c r="M300" s="11" t="s">
        <v>66</v>
      </c>
      <c r="N300" s="11" t="s">
        <v>70</v>
      </c>
      <c r="O300" s="11" t="s">
        <v>289</v>
      </c>
      <c r="P300" s="11" t="s">
        <v>207</v>
      </c>
      <c r="Q300" s="11" t="s">
        <v>60</v>
      </c>
      <c r="R300" s="11" t="s">
        <v>73</v>
      </c>
    </row>
    <row r="301">
      <c r="A301" s="10">
        <v>46195.96510789352</v>
      </c>
      <c r="B301" s="11" t="s">
        <v>749</v>
      </c>
      <c r="C301" s="11" t="s">
        <v>747</v>
      </c>
      <c r="D301" s="11" t="s">
        <v>748</v>
      </c>
      <c r="E301" s="21" t="s">
        <v>1834</v>
      </c>
      <c r="F301" s="11">
        <v>200.0</v>
      </c>
      <c r="G301" s="11">
        <v>3.8</v>
      </c>
      <c r="H301" s="11" t="s">
        <v>49</v>
      </c>
      <c r="I301" s="11" t="s">
        <v>171</v>
      </c>
      <c r="J301" s="11" t="s">
        <v>169</v>
      </c>
      <c r="K301" s="11" t="s">
        <v>73</v>
      </c>
      <c r="L301" s="11" t="s">
        <v>70</v>
      </c>
      <c r="M301" s="11" t="s">
        <v>66</v>
      </c>
      <c r="N301" s="11" t="s">
        <v>36</v>
      </c>
      <c r="O301" s="11" t="s">
        <v>207</v>
      </c>
      <c r="P301" s="11" t="s">
        <v>225</v>
      </c>
      <c r="Q301" s="11" t="s">
        <v>235</v>
      </c>
      <c r="R301" s="11" t="s">
        <v>109</v>
      </c>
    </row>
    <row r="302">
      <c r="A302" s="10">
        <v>46192.76707180556</v>
      </c>
      <c r="B302" s="11" t="s">
        <v>941</v>
      </c>
      <c r="C302" s="11" t="s">
        <v>162</v>
      </c>
      <c r="D302" s="11" t="s">
        <v>940</v>
      </c>
      <c r="E302" s="21" t="s">
        <v>1837</v>
      </c>
      <c r="F302" s="11">
        <v>198.0</v>
      </c>
      <c r="G302" s="11">
        <v>3.87</v>
      </c>
      <c r="H302" s="11" t="s">
        <v>49</v>
      </c>
      <c r="I302" s="11" t="s">
        <v>171</v>
      </c>
      <c r="J302" s="11" t="s">
        <v>109</v>
      </c>
      <c r="K302" s="11" t="s">
        <v>293</v>
      </c>
      <c r="L302" s="11" t="s">
        <v>58</v>
      </c>
      <c r="M302" s="11" t="s">
        <v>51</v>
      </c>
      <c r="N302" s="11" t="s">
        <v>191</v>
      </c>
      <c r="O302" s="11" t="s">
        <v>305</v>
      </c>
      <c r="P302" s="11" t="s">
        <v>54</v>
      </c>
      <c r="Q302" s="11" t="s">
        <v>207</v>
      </c>
      <c r="R302" s="11" t="s">
        <v>85</v>
      </c>
    </row>
    <row r="303">
      <c r="A303" s="10">
        <v>46195.802975081024</v>
      </c>
      <c r="B303" s="11" t="s">
        <v>1552</v>
      </c>
      <c r="C303" s="11" t="s">
        <v>1550</v>
      </c>
      <c r="D303" s="11" t="s">
        <v>1551</v>
      </c>
      <c r="E303" s="21" t="s">
        <v>1840</v>
      </c>
      <c r="F303" s="11">
        <v>170.0</v>
      </c>
      <c r="G303" s="11">
        <v>3.8</v>
      </c>
      <c r="H303" s="11" t="s">
        <v>49</v>
      </c>
      <c r="I303" s="11" t="s">
        <v>171</v>
      </c>
      <c r="J303" s="11" t="s">
        <v>66</v>
      </c>
      <c r="K303" s="11" t="s">
        <v>73</v>
      </c>
      <c r="L303" s="11" t="s">
        <v>109</v>
      </c>
      <c r="M303" s="11" t="s">
        <v>56</v>
      </c>
      <c r="N303" s="11" t="s">
        <v>197</v>
      </c>
      <c r="O303" s="11" t="s">
        <v>52</v>
      </c>
      <c r="P303" s="11" t="s">
        <v>191</v>
      </c>
      <c r="Q303" s="11" t="s">
        <v>51</v>
      </c>
      <c r="R303" s="11" t="s">
        <v>80</v>
      </c>
    </row>
    <row r="304">
      <c r="A304" s="10">
        <v>46195.86590467593</v>
      </c>
      <c r="B304" s="11" t="s">
        <v>1408</v>
      </c>
      <c r="C304" s="11" t="s">
        <v>1402</v>
      </c>
      <c r="D304" s="11" t="s">
        <v>1407</v>
      </c>
      <c r="E304" s="21" t="s">
        <v>1843</v>
      </c>
      <c r="F304" s="11">
        <v>310.5</v>
      </c>
      <c r="G304" s="11">
        <v>3.851</v>
      </c>
      <c r="H304" s="11" t="s">
        <v>49</v>
      </c>
      <c r="I304" s="11" t="s">
        <v>364</v>
      </c>
      <c r="J304" s="11" t="s">
        <v>54</v>
      </c>
      <c r="K304" s="11" t="s">
        <v>70</v>
      </c>
      <c r="L304" s="11" t="s">
        <v>36</v>
      </c>
      <c r="M304" s="11" t="s">
        <v>85</v>
      </c>
    </row>
    <row r="305">
      <c r="A305" s="10">
        <v>46194.405765358795</v>
      </c>
      <c r="B305" s="11" t="s">
        <v>1507</v>
      </c>
      <c r="C305" s="11" t="s">
        <v>1505</v>
      </c>
      <c r="D305" s="11" t="s">
        <v>1506</v>
      </c>
      <c r="E305" s="21" t="s">
        <v>1846</v>
      </c>
      <c r="F305" s="11">
        <v>211.0</v>
      </c>
      <c r="G305" s="11">
        <v>3.47</v>
      </c>
      <c r="H305" s="11" t="s">
        <v>49</v>
      </c>
      <c r="I305" s="11" t="s">
        <v>364</v>
      </c>
      <c r="J305" s="11" t="s">
        <v>145</v>
      </c>
      <c r="K305" s="11" t="s">
        <v>148</v>
      </c>
      <c r="L305" s="11" t="s">
        <v>169</v>
      </c>
      <c r="M305" s="11" t="s">
        <v>83</v>
      </c>
      <c r="N305" s="11" t="s">
        <v>166</v>
      </c>
      <c r="O305" s="11" t="s">
        <v>110</v>
      </c>
      <c r="P305" s="11" t="s">
        <v>73</v>
      </c>
      <c r="Q305" s="11" t="s">
        <v>52</v>
      </c>
      <c r="R305" s="11" t="s">
        <v>191</v>
      </c>
    </row>
    <row r="306">
      <c r="A306" s="10">
        <v>46191.2614050463</v>
      </c>
      <c r="B306" s="11" t="s">
        <v>448</v>
      </c>
      <c r="C306" s="11" t="s">
        <v>446</v>
      </c>
      <c r="D306" s="11" t="s">
        <v>447</v>
      </c>
      <c r="E306" s="21" t="s">
        <v>1849</v>
      </c>
      <c r="F306" s="11">
        <v>211.0</v>
      </c>
      <c r="G306" s="11">
        <v>3.1</v>
      </c>
      <c r="H306" s="11" t="s">
        <v>49</v>
      </c>
      <c r="I306" s="11" t="s">
        <v>364</v>
      </c>
      <c r="J306" s="11" t="s">
        <v>54</v>
      </c>
      <c r="K306" s="11" t="s">
        <v>83</v>
      </c>
      <c r="L306" s="11" t="s">
        <v>60</v>
      </c>
      <c r="M306" s="11" t="s">
        <v>59</v>
      </c>
      <c r="N306" s="11" t="s">
        <v>56</v>
      </c>
      <c r="O306" s="11" t="s">
        <v>36</v>
      </c>
      <c r="P306" s="11" t="s">
        <v>53</v>
      </c>
      <c r="Q306" s="11" t="s">
        <v>82</v>
      </c>
      <c r="R306" s="11" t="s">
        <v>55</v>
      </c>
    </row>
    <row r="307">
      <c r="A307" s="10">
        <v>46195.6744253588</v>
      </c>
      <c r="B307" s="11" t="s">
        <v>1489</v>
      </c>
      <c r="C307" s="11" t="s">
        <v>98</v>
      </c>
      <c r="D307" s="11" t="s">
        <v>1488</v>
      </c>
      <c r="E307" s="21" t="s">
        <v>1850</v>
      </c>
      <c r="F307" s="11">
        <v>201.0</v>
      </c>
      <c r="G307" s="11">
        <v>3.43</v>
      </c>
      <c r="H307" s="11" t="s">
        <v>49</v>
      </c>
      <c r="I307" s="11" t="s">
        <v>364</v>
      </c>
      <c r="J307" s="11" t="s">
        <v>52</v>
      </c>
      <c r="K307" s="11" t="s">
        <v>55</v>
      </c>
      <c r="L307" s="11" t="s">
        <v>305</v>
      </c>
      <c r="M307" s="11" t="s">
        <v>82</v>
      </c>
      <c r="N307" s="11" t="s">
        <v>59</v>
      </c>
      <c r="O307" s="11" t="s">
        <v>148</v>
      </c>
      <c r="P307" s="11" t="s">
        <v>291</v>
      </c>
      <c r="Q307" s="11" t="s">
        <v>293</v>
      </c>
      <c r="R307" s="11" t="s">
        <v>336</v>
      </c>
    </row>
    <row r="308">
      <c r="A308" s="10">
        <v>46191.79397706018</v>
      </c>
      <c r="B308" s="11" t="s">
        <v>603</v>
      </c>
      <c r="C308" s="11" t="s">
        <v>599</v>
      </c>
      <c r="D308" s="11" t="s">
        <v>602</v>
      </c>
      <c r="E308" s="21" t="s">
        <v>1851</v>
      </c>
      <c r="F308" s="11">
        <v>200.0</v>
      </c>
      <c r="G308" s="11">
        <v>3.97</v>
      </c>
      <c r="H308" s="11" t="s">
        <v>49</v>
      </c>
      <c r="I308" s="11" t="s">
        <v>364</v>
      </c>
      <c r="J308" s="11" t="s">
        <v>145</v>
      </c>
      <c r="K308" s="11" t="s">
        <v>148</v>
      </c>
      <c r="L308" s="11" t="s">
        <v>169</v>
      </c>
      <c r="M308" s="11" t="s">
        <v>83</v>
      </c>
      <c r="N308" s="11" t="s">
        <v>110</v>
      </c>
      <c r="O308" s="11" t="s">
        <v>166</v>
      </c>
      <c r="P308" s="11" t="s">
        <v>54</v>
      </c>
      <c r="Q308" s="11" t="s">
        <v>73</v>
      </c>
      <c r="R308" s="11" t="s">
        <v>323</v>
      </c>
    </row>
    <row r="309">
      <c r="A309" s="10">
        <v>46193.77915497685</v>
      </c>
      <c r="B309" s="11" t="s">
        <v>1493</v>
      </c>
      <c r="C309" s="11" t="s">
        <v>1491</v>
      </c>
      <c r="D309" s="11" t="s">
        <v>1492</v>
      </c>
      <c r="E309" s="21" t="s">
        <v>1853</v>
      </c>
      <c r="F309" s="11">
        <v>197.0</v>
      </c>
      <c r="G309" s="11">
        <v>2.96</v>
      </c>
      <c r="H309" s="11" t="s">
        <v>49</v>
      </c>
      <c r="I309" s="11" t="s">
        <v>364</v>
      </c>
      <c r="J309" s="11" t="s">
        <v>52</v>
      </c>
      <c r="K309" s="11" t="s">
        <v>305</v>
      </c>
      <c r="L309" s="11" t="s">
        <v>51</v>
      </c>
      <c r="M309" s="11" t="s">
        <v>82</v>
      </c>
      <c r="N309" s="11" t="s">
        <v>109</v>
      </c>
      <c r="O309" s="11" t="s">
        <v>148</v>
      </c>
      <c r="P309" s="11" t="s">
        <v>56</v>
      </c>
      <c r="Q309" s="11" t="s">
        <v>55</v>
      </c>
      <c r="R309" s="11" t="s">
        <v>171</v>
      </c>
    </row>
    <row r="310">
      <c r="A310" s="10">
        <v>46195.39287627315</v>
      </c>
      <c r="B310" s="11" t="s">
        <v>1280</v>
      </c>
      <c r="C310" s="11" t="s">
        <v>1276</v>
      </c>
      <c r="D310" s="11" t="s">
        <v>1279</v>
      </c>
      <c r="E310" s="21" t="s">
        <v>1856</v>
      </c>
      <c r="F310" s="11">
        <v>185.0</v>
      </c>
      <c r="G310" s="11">
        <v>3.796</v>
      </c>
      <c r="H310" s="11" t="s">
        <v>49</v>
      </c>
      <c r="I310" s="11" t="s">
        <v>364</v>
      </c>
      <c r="J310" s="11" t="s">
        <v>82</v>
      </c>
      <c r="K310" s="11" t="s">
        <v>54</v>
      </c>
      <c r="L310" s="11" t="s">
        <v>60</v>
      </c>
      <c r="M310" s="11" t="s">
        <v>145</v>
      </c>
      <c r="N310" s="11" t="s">
        <v>56</v>
      </c>
      <c r="O310" s="11" t="s">
        <v>36</v>
      </c>
      <c r="P310" s="11" t="s">
        <v>52</v>
      </c>
      <c r="Q310" s="11" t="s">
        <v>83</v>
      </c>
      <c r="R310" s="11" t="s">
        <v>53</v>
      </c>
    </row>
    <row r="311">
      <c r="A311" s="10">
        <v>46195.96878899305</v>
      </c>
      <c r="B311" s="11" t="s">
        <v>508</v>
      </c>
      <c r="C311" s="11" t="s">
        <v>506</v>
      </c>
      <c r="D311" s="11" t="s">
        <v>507</v>
      </c>
      <c r="E311" s="21" t="s">
        <v>1861</v>
      </c>
      <c r="F311" s="11">
        <v>146.0</v>
      </c>
      <c r="G311" s="11">
        <v>2.879</v>
      </c>
      <c r="H311" s="11" t="s">
        <v>49</v>
      </c>
      <c r="I311" s="11" t="s">
        <v>364</v>
      </c>
      <c r="J311" s="11" t="s">
        <v>54</v>
      </c>
      <c r="K311" s="11" t="s">
        <v>82</v>
      </c>
      <c r="L311" s="11" t="s">
        <v>197</v>
      </c>
      <c r="M311" s="11" t="s">
        <v>83</v>
      </c>
      <c r="N311" s="11" t="s">
        <v>291</v>
      </c>
      <c r="O311" s="11" t="s">
        <v>235</v>
      </c>
      <c r="P311" s="11" t="s">
        <v>305</v>
      </c>
      <c r="Q311" s="11" t="s">
        <v>132</v>
      </c>
      <c r="R311" s="11" t="s">
        <v>219</v>
      </c>
    </row>
    <row r="312">
      <c r="A312" s="113" t="s">
        <v>1</v>
      </c>
      <c r="B312" s="113" t="s">
        <v>3</v>
      </c>
      <c r="C312" s="113" t="s">
        <v>0</v>
      </c>
      <c r="D312" s="113" t="s">
        <v>1866</v>
      </c>
      <c r="E312" s="113" t="s">
        <v>1867</v>
      </c>
      <c r="F312" s="113" t="s">
        <v>12</v>
      </c>
      <c r="G312" s="113" t="s">
        <v>1868</v>
      </c>
      <c r="H312" s="113" t="s">
        <v>14</v>
      </c>
      <c r="I312" s="113" t="s">
        <v>15</v>
      </c>
      <c r="J312" s="113" t="s">
        <v>16</v>
      </c>
      <c r="K312" s="113" t="s">
        <v>17</v>
      </c>
      <c r="L312" s="113" t="s">
        <v>18</v>
      </c>
      <c r="M312" s="113" t="s">
        <v>19</v>
      </c>
      <c r="N312" s="113" t="s">
        <v>20</v>
      </c>
      <c r="O312" s="113" t="s">
        <v>21</v>
      </c>
      <c r="P312" s="113" t="s">
        <v>22</v>
      </c>
      <c r="Q312" s="113" t="s">
        <v>23</v>
      </c>
      <c r="R312" s="113" t="s">
        <v>24</v>
      </c>
    </row>
  </sheetData>
  <dataValidations>
    <dataValidation type="list" allowBlank="1" showErrorMessage="1" sqref="A3">
      <formula1>"Alex Warstadt,Ali Arsanjani,Aobo Li,Armin Schwartzman,Arya Mazumdar,Babak Salimi,Ben Smarr,Berk Ustun,Bijan Arbab,Biwei Huang,Bradley Voytek,Brian Chin,Daniel Mathew,Dhruvi Kothari,Duncan Watson-Parris,Dusan Bosnjakovic,Emily Aiken,Emily Belli,Falko Kuest"&amp;"er,Gabriel Andres Garzo,Haojian Jin,Igor Sfiligoi,Igor Sfiligoi,Ilyes Meftah,Jack Brzeznski,Jeff Candy,Jingbo Shang,Jun-Kun Wang,Justin Eldridge,Justin Murphy,Kyle Nero,Lawrence Vulis,Lily Weng,Madison Hughes,Manny Ruidiaz,Mark Dixon,Matt Endo,Michael Dei"&amp;"sher,Mikio Aoi,Misha Belkin,Nathan Hui,Neal Driscoll,Nicholas Boechler,Perez Ogayo,Peter Chi,Rajeev Chhajer,Rajesh Gupta,Rayan Saab,Reem Khojah,Renu Raman,Renu Raman,Rob Knight,Robert Wilderman,Ryan Lingo,Sara Agahi,Soohyun Liao,Stuart Geiger,Sylvia Downi"&amp;"ng,Tauhidur Rahman,Tianhao Wang,Tiffany Amariuta,Victor Calderon,Victor Minces,Vikram Joshi,Yoav Freund,Yusu Wang,Zhijian Liu"</formula1>
    </dataValidation>
  </dataValidations>
  <hyperlinks>
    <hyperlink r:id="rId2" ref="E2"/>
    <hyperlink r:id="rId3" ref="E3"/>
    <hyperlink r:id="rId4" ref="E4"/>
    <hyperlink r:id="rId5" location="6cd4a7" ref="E5"/>
    <hyperlink r:id="rId6" ref="E6"/>
    <hyperlink r:id="rId7" ref="E7"/>
    <hyperlink r:id="rId8" ref="E8"/>
    <hyperlink r:id="rId9" ref="E9"/>
    <hyperlink r:id="rId10" ref="E10"/>
    <hyperlink r:id="rId11" ref="E11"/>
    <hyperlink r:id="rId12" ref="E12"/>
    <hyperlink r:id="rId13" ref="E14"/>
    <hyperlink r:id="rId14" ref="E15"/>
    <hyperlink r:id="rId15" location="0baec9"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location="991e96"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location="contact"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5"/>
    <hyperlink r:id="rId93" ref="E96"/>
    <hyperlink r:id="rId94" location="heading=h.sxrgyex1k567" ref="E98"/>
    <hyperlink r:id="rId95" ref="E99"/>
    <hyperlink r:id="rId96" ref="E100"/>
    <hyperlink r:id="rId97" ref="E101"/>
    <hyperlink r:id="rId98" ref="E102"/>
    <hyperlink r:id="rId99" ref="E103"/>
    <hyperlink r:id="rId100" ref="E104"/>
    <hyperlink r:id="rId101" location="1be766" ref="E106"/>
    <hyperlink r:id="rId102" ref="E107"/>
    <hyperlink r:id="rId103" ref="E108"/>
    <hyperlink r:id="rId104" ref="E109"/>
    <hyperlink r:id="rId105" ref="E110"/>
    <hyperlink r:id="rId106" ref="E112"/>
    <hyperlink r:id="rId107" ref="E113"/>
    <hyperlink r:id="rId108" ref="E114"/>
    <hyperlink r:id="rId109" ref="E115"/>
    <hyperlink r:id="rId110" ref="E116"/>
    <hyperlink r:id="rId111" ref="E117"/>
    <hyperlink r:id="rId112" ref="E118"/>
    <hyperlink r:id="rId113" ref="E119"/>
    <hyperlink r:id="rId114" ref="E120"/>
    <hyperlink r:id="rId115" ref="E121"/>
    <hyperlink r:id="rId116" ref="E122"/>
    <hyperlink r:id="rId117" ref="E123"/>
    <hyperlink r:id="rId118" ref="E124"/>
    <hyperlink r:id="rId119" ref="E125"/>
    <hyperlink r:id="rId120" ref="E126"/>
    <hyperlink r:id="rId121" ref="E127"/>
    <hyperlink r:id="rId122" ref="E128"/>
    <hyperlink r:id="rId123" ref="E129"/>
    <hyperlink r:id="rId124" ref="E130"/>
    <hyperlink r:id="rId125" ref="E131"/>
    <hyperlink r:id="rId126" ref="E132"/>
    <hyperlink r:id="rId127" ref="E133"/>
    <hyperlink r:id="rId128" ref="E134"/>
    <hyperlink r:id="rId129" ref="E135"/>
    <hyperlink r:id="rId130" ref="E136"/>
    <hyperlink r:id="rId131" ref="E137"/>
    <hyperlink r:id="rId132" ref="E138"/>
    <hyperlink r:id="rId133" ref="E139"/>
    <hyperlink r:id="rId134" ref="E140"/>
    <hyperlink r:id="rId135" ref="E141"/>
    <hyperlink r:id="rId136" ref="E142"/>
    <hyperlink r:id="rId137" ref="E143"/>
    <hyperlink r:id="rId138" ref="E144"/>
    <hyperlink r:id="rId139" ref="E145"/>
    <hyperlink r:id="rId140" ref="E146"/>
    <hyperlink r:id="rId141" ref="E148"/>
    <hyperlink r:id="rId142" ref="E149"/>
    <hyperlink r:id="rId143" ref="E150"/>
    <hyperlink r:id="rId144" ref="E151"/>
    <hyperlink r:id="rId145" ref="E152"/>
    <hyperlink r:id="rId146" ref="E153"/>
    <hyperlink r:id="rId147" ref="E154"/>
    <hyperlink r:id="rId148" ref="E155"/>
    <hyperlink r:id="rId149" ref="E156"/>
    <hyperlink r:id="rId150" ref="E157"/>
    <hyperlink r:id="rId151" ref="E158"/>
    <hyperlink r:id="rId152" ref="E159"/>
    <hyperlink r:id="rId153" ref="E160"/>
    <hyperlink r:id="rId154" ref="E161"/>
    <hyperlink r:id="rId155" ref="E162"/>
    <hyperlink r:id="rId156" ref="E163"/>
    <hyperlink r:id="rId157" ref="E164"/>
    <hyperlink r:id="rId158" ref="E165"/>
    <hyperlink r:id="rId159" ref="E166"/>
    <hyperlink r:id="rId160" ref="E167"/>
    <hyperlink r:id="rId161" ref="E168"/>
    <hyperlink r:id="rId162" ref="E169"/>
    <hyperlink r:id="rId163" ref="E170"/>
    <hyperlink r:id="rId164" ref="E171"/>
    <hyperlink r:id="rId165" ref="E172"/>
    <hyperlink r:id="rId166" ref="E173"/>
    <hyperlink r:id="rId167" ref="E174"/>
    <hyperlink r:id="rId168" ref="E175"/>
    <hyperlink r:id="rId169" ref="E176"/>
    <hyperlink r:id="rId170" ref="E177"/>
    <hyperlink r:id="rId171" ref="E178"/>
    <hyperlink r:id="rId172" ref="E179"/>
    <hyperlink r:id="rId173" ref="E180"/>
    <hyperlink r:id="rId174" ref="E181"/>
    <hyperlink r:id="rId175" ref="E182"/>
    <hyperlink r:id="rId176" ref="E183"/>
    <hyperlink r:id="rId177" ref="E184"/>
    <hyperlink r:id="rId178" ref="E185"/>
    <hyperlink r:id="rId179" ref="E186"/>
    <hyperlink r:id="rId180" ref="E187"/>
    <hyperlink r:id="rId181" ref="E188"/>
    <hyperlink r:id="rId182" ref="E189"/>
    <hyperlink r:id="rId183" ref="E190"/>
    <hyperlink r:id="rId184" ref="E191"/>
    <hyperlink r:id="rId185" ref="E192"/>
    <hyperlink r:id="rId186" ref="E193"/>
    <hyperlink r:id="rId187" ref="E195"/>
    <hyperlink r:id="rId188" ref="E196"/>
    <hyperlink r:id="rId189" ref="E198"/>
    <hyperlink r:id="rId190" ref="E199"/>
    <hyperlink r:id="rId191" ref="E200"/>
    <hyperlink r:id="rId192" ref="E201"/>
    <hyperlink r:id="rId193" ref="E202"/>
    <hyperlink r:id="rId194" ref="E203"/>
    <hyperlink r:id="rId195" ref="E204"/>
    <hyperlink r:id="rId196" ref="E205"/>
    <hyperlink r:id="rId197" ref="E206"/>
    <hyperlink r:id="rId198" ref="E207"/>
    <hyperlink r:id="rId199" ref="E208"/>
    <hyperlink r:id="rId200" ref="E209"/>
    <hyperlink r:id="rId201" ref="E210"/>
    <hyperlink r:id="rId202" ref="E211"/>
    <hyperlink r:id="rId203" ref="E212"/>
    <hyperlink r:id="rId204" ref="E213"/>
    <hyperlink r:id="rId205" ref="E214"/>
    <hyperlink r:id="rId206" ref="E215"/>
    <hyperlink r:id="rId207" ref="E216"/>
    <hyperlink r:id="rId208" ref="E217"/>
    <hyperlink r:id="rId209" ref="E218"/>
    <hyperlink r:id="rId210" ref="E219"/>
    <hyperlink r:id="rId211" ref="E221"/>
    <hyperlink r:id="rId212" ref="E222"/>
    <hyperlink r:id="rId213" ref="E223"/>
    <hyperlink r:id="rId214" ref="E224"/>
    <hyperlink r:id="rId215" ref="E225"/>
    <hyperlink r:id="rId216" ref="E226"/>
    <hyperlink r:id="rId217" ref="E227"/>
    <hyperlink r:id="rId218" ref="E228"/>
    <hyperlink r:id="rId219" ref="E229"/>
    <hyperlink r:id="rId220" ref="E230"/>
    <hyperlink r:id="rId221" ref="E231"/>
    <hyperlink r:id="rId222" ref="E232"/>
    <hyperlink r:id="rId223" ref="E233"/>
    <hyperlink r:id="rId224" ref="E234"/>
    <hyperlink r:id="rId225" ref="E235"/>
    <hyperlink r:id="rId226" ref="E236"/>
    <hyperlink r:id="rId227" ref="E237"/>
    <hyperlink r:id="rId228" ref="E238"/>
    <hyperlink r:id="rId229" ref="E239"/>
    <hyperlink r:id="rId230" ref="E240"/>
    <hyperlink r:id="rId231" ref="E241"/>
    <hyperlink r:id="rId232" ref="E242"/>
    <hyperlink r:id="rId233" ref="E243"/>
    <hyperlink r:id="rId234" ref="E244"/>
    <hyperlink r:id="rId235" ref="E245"/>
    <hyperlink r:id="rId236" ref="E246"/>
    <hyperlink r:id="rId237" ref="E247"/>
    <hyperlink r:id="rId238" ref="E248"/>
    <hyperlink r:id="rId239" ref="E249"/>
    <hyperlink r:id="rId240" ref="E250"/>
    <hyperlink r:id="rId241" ref="E251"/>
    <hyperlink r:id="rId242" ref="E252"/>
    <hyperlink r:id="rId243" ref="E253"/>
    <hyperlink r:id="rId244" ref="E254"/>
    <hyperlink r:id="rId245" ref="E255"/>
    <hyperlink r:id="rId246" ref="E256"/>
    <hyperlink r:id="rId247" ref="E257"/>
    <hyperlink r:id="rId248" ref="E258"/>
    <hyperlink r:id="rId249" location="f68e74" ref="E259"/>
    <hyperlink r:id="rId250" ref="E260"/>
    <hyperlink r:id="rId251" ref="E261"/>
    <hyperlink r:id="rId252" ref="E262"/>
    <hyperlink r:id="rId253" ref="E263"/>
    <hyperlink r:id="rId254" ref="E264"/>
    <hyperlink r:id="rId255" ref="E265"/>
    <hyperlink r:id="rId256" location="27730d" ref="E266"/>
    <hyperlink r:id="rId257" ref="E267"/>
    <hyperlink r:id="rId258" ref="E268"/>
    <hyperlink r:id="rId259" ref="E269"/>
    <hyperlink r:id="rId260" ref="E271"/>
    <hyperlink r:id="rId261" ref="E272"/>
    <hyperlink r:id="rId262" ref="E273"/>
    <hyperlink r:id="rId263" ref="E274"/>
    <hyperlink r:id="rId264" ref="E275"/>
    <hyperlink r:id="rId265" ref="E276"/>
    <hyperlink r:id="rId266" ref="E277"/>
    <hyperlink r:id="rId267" ref="E278"/>
    <hyperlink r:id="rId268" ref="E279"/>
    <hyperlink r:id="rId269" ref="E280"/>
    <hyperlink r:id="rId270" ref="E281"/>
    <hyperlink r:id="rId271" ref="E282"/>
    <hyperlink r:id="rId272" ref="E283"/>
    <hyperlink r:id="rId273" ref="E284"/>
    <hyperlink r:id="rId274" ref="E285"/>
    <hyperlink r:id="rId275" ref="E286"/>
    <hyperlink r:id="rId276" ref="E287"/>
    <hyperlink r:id="rId277" ref="E288"/>
    <hyperlink r:id="rId278" ref="E289"/>
    <hyperlink r:id="rId279" ref="E290"/>
    <hyperlink r:id="rId280" ref="E291"/>
    <hyperlink r:id="rId281" ref="E292"/>
    <hyperlink r:id="rId282" ref="E293"/>
    <hyperlink r:id="rId283" ref="E294"/>
    <hyperlink r:id="rId284" ref="E295"/>
    <hyperlink r:id="rId285" ref="E296"/>
    <hyperlink r:id="rId286" ref="E297"/>
    <hyperlink r:id="rId287" ref="E298"/>
    <hyperlink r:id="rId288" ref="E299"/>
    <hyperlink r:id="rId289" ref="E300"/>
    <hyperlink r:id="rId290" ref="E301"/>
    <hyperlink r:id="rId291" ref="E302"/>
    <hyperlink r:id="rId292" ref="E303"/>
    <hyperlink r:id="rId293" location="e75fd0" ref="E304"/>
    <hyperlink r:id="rId294" ref="E305"/>
    <hyperlink r:id="rId295" ref="E306"/>
    <hyperlink r:id="rId296" ref="E307"/>
    <hyperlink r:id="rId297" ref="E308"/>
    <hyperlink r:id="rId298" ref="E309"/>
    <hyperlink r:id="rId299" ref="E310"/>
    <hyperlink r:id="rId300" ref="E311"/>
  </hyperlinks>
  <drawing r:id="rId301"/>
  <legacyDrawing r:id="rId3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1.5"/>
    <col customWidth="1" min="3" max="15" width="13.38"/>
  </cols>
  <sheetData>
    <row r="1" ht="30.0" customHeight="1">
      <c r="A1" s="15" t="s">
        <v>6</v>
      </c>
      <c r="B1" s="16" t="s">
        <v>37</v>
      </c>
      <c r="C1" s="18" t="s">
        <v>29</v>
      </c>
      <c r="D1" s="16" t="s">
        <v>38</v>
      </c>
      <c r="E1" s="16" t="s">
        <v>39</v>
      </c>
      <c r="F1" s="16" t="s">
        <v>40</v>
      </c>
      <c r="G1" s="16" t="s">
        <v>41</v>
      </c>
      <c r="H1" s="16" t="s">
        <v>42</v>
      </c>
      <c r="I1" s="16" t="s">
        <v>43</v>
      </c>
      <c r="J1" s="16" t="s">
        <v>44</v>
      </c>
      <c r="K1" s="16" t="s">
        <v>45</v>
      </c>
      <c r="L1" s="16" t="s">
        <v>46</v>
      </c>
      <c r="M1" s="16" t="s">
        <v>47</v>
      </c>
      <c r="N1" s="16" t="s">
        <v>48</v>
      </c>
      <c r="O1" s="16" t="s">
        <v>50</v>
      </c>
      <c r="P1" s="22"/>
      <c r="Q1" s="22"/>
      <c r="R1" s="22"/>
      <c r="S1" s="22"/>
      <c r="T1" s="22"/>
      <c r="U1" s="22"/>
      <c r="V1" s="22"/>
      <c r="W1" s="22"/>
      <c r="X1" s="22"/>
      <c r="Y1" s="22"/>
      <c r="Z1" s="22"/>
      <c r="AA1" s="22"/>
    </row>
    <row r="2" ht="30.0" customHeight="1">
      <c r="A2" s="23" t="s">
        <v>36</v>
      </c>
      <c r="B2" s="24" t="s">
        <v>61</v>
      </c>
      <c r="C2" s="17">
        <v>16.0</v>
      </c>
      <c r="D2" s="26"/>
      <c r="E2" s="26"/>
      <c r="F2" s="26"/>
      <c r="G2" s="26"/>
      <c r="H2" s="26"/>
      <c r="I2" s="26"/>
      <c r="J2" s="26"/>
      <c r="K2" s="26"/>
      <c r="L2" s="26"/>
      <c r="M2" s="26"/>
      <c r="N2" s="26"/>
      <c r="O2" s="26"/>
      <c r="P2" s="27"/>
      <c r="Q2" s="27"/>
      <c r="R2" s="27"/>
      <c r="S2" s="27"/>
      <c r="T2" s="27"/>
      <c r="U2" s="27"/>
      <c r="V2" s="27"/>
      <c r="W2" s="27"/>
      <c r="X2" s="27"/>
      <c r="Y2" s="27"/>
      <c r="Z2" s="27"/>
      <c r="AA2" s="27"/>
    </row>
    <row r="3" ht="30.0" customHeight="1">
      <c r="A3" s="23" t="s">
        <v>70</v>
      </c>
      <c r="B3" s="24" t="s">
        <v>71</v>
      </c>
      <c r="C3" s="17">
        <v>5.0</v>
      </c>
      <c r="D3" s="26"/>
      <c r="E3" s="26"/>
      <c r="F3" s="26"/>
      <c r="G3" s="26"/>
      <c r="H3" s="26"/>
      <c r="I3" s="26"/>
      <c r="J3" s="26"/>
      <c r="K3" s="26"/>
      <c r="L3" s="26"/>
      <c r="M3" s="26"/>
      <c r="N3" s="26"/>
      <c r="O3" s="26"/>
      <c r="P3" s="27"/>
      <c r="Q3" s="27"/>
      <c r="R3" s="27"/>
      <c r="S3" s="27"/>
      <c r="T3" s="27"/>
      <c r="U3" s="27"/>
      <c r="V3" s="27"/>
      <c r="W3" s="27"/>
      <c r="X3" s="27"/>
      <c r="Y3" s="27"/>
      <c r="Z3" s="27"/>
      <c r="AA3" s="27"/>
    </row>
    <row r="4" ht="30.0" customHeight="1">
      <c r="A4" s="23" t="s">
        <v>73</v>
      </c>
      <c r="B4" s="24" t="s">
        <v>74</v>
      </c>
      <c r="C4" s="17">
        <v>4.0</v>
      </c>
      <c r="D4" s="29" t="s">
        <v>75</v>
      </c>
      <c r="E4" s="30" t="s">
        <v>76</v>
      </c>
      <c r="F4" s="30" t="s">
        <v>78</v>
      </c>
      <c r="G4" s="30" t="s">
        <v>79</v>
      </c>
      <c r="H4" s="26"/>
      <c r="I4" s="26"/>
      <c r="J4" s="26"/>
      <c r="K4" s="26"/>
      <c r="L4" s="26"/>
      <c r="M4" s="26"/>
      <c r="N4" s="26"/>
      <c r="O4" s="26"/>
      <c r="P4" s="27"/>
      <c r="Q4" s="27"/>
      <c r="R4" s="27"/>
      <c r="S4" s="27"/>
      <c r="T4" s="27"/>
      <c r="U4" s="27"/>
      <c r="V4" s="27"/>
      <c r="W4" s="27"/>
      <c r="X4" s="27"/>
      <c r="Y4" s="27"/>
      <c r="Z4" s="27"/>
      <c r="AA4" s="27"/>
    </row>
    <row r="5" ht="30.0" customHeight="1">
      <c r="A5" s="23" t="s">
        <v>80</v>
      </c>
      <c r="B5" s="24" t="s">
        <v>81</v>
      </c>
      <c r="C5" s="17">
        <v>8.0</v>
      </c>
      <c r="D5" s="26"/>
      <c r="E5" s="26"/>
      <c r="F5" s="26"/>
      <c r="G5" s="26"/>
      <c r="H5" s="26"/>
      <c r="I5" s="26"/>
      <c r="J5" s="26"/>
      <c r="K5" s="26"/>
      <c r="L5" s="26"/>
      <c r="M5" s="26"/>
      <c r="N5" s="26"/>
      <c r="O5" s="26"/>
      <c r="P5" s="27"/>
      <c r="Q5" s="27"/>
      <c r="R5" s="27"/>
      <c r="S5" s="27"/>
      <c r="T5" s="27"/>
      <c r="U5" s="27"/>
      <c r="V5" s="27"/>
      <c r="W5" s="27"/>
      <c r="X5" s="27"/>
      <c r="Y5" s="27"/>
      <c r="Z5" s="27"/>
      <c r="AA5" s="27"/>
    </row>
    <row r="6" ht="30.0" customHeight="1">
      <c r="A6" s="23" t="s">
        <v>55</v>
      </c>
      <c r="B6" s="24" t="s">
        <v>87</v>
      </c>
      <c r="C6" s="17">
        <v>12.0</v>
      </c>
      <c r="D6" s="30" t="s">
        <v>90</v>
      </c>
      <c r="E6" s="30" t="s">
        <v>92</v>
      </c>
      <c r="F6" s="30" t="s">
        <v>93</v>
      </c>
      <c r="G6" s="30" t="s">
        <v>94</v>
      </c>
      <c r="H6" s="30" t="s">
        <v>95</v>
      </c>
      <c r="I6" s="30" t="s">
        <v>96</v>
      </c>
      <c r="J6" s="30" t="s">
        <v>98</v>
      </c>
      <c r="K6" s="30" t="s">
        <v>99</v>
      </c>
      <c r="L6" s="30" t="s">
        <v>100</v>
      </c>
      <c r="M6" s="30" t="s">
        <v>101</v>
      </c>
      <c r="N6" s="30" t="s">
        <v>102</v>
      </c>
      <c r="O6" s="30" t="s">
        <v>103</v>
      </c>
      <c r="P6" s="27"/>
      <c r="Q6" s="27"/>
      <c r="R6" s="27"/>
      <c r="S6" s="27"/>
      <c r="T6" s="27"/>
      <c r="U6" s="27"/>
      <c r="V6" s="27"/>
      <c r="W6" s="27"/>
      <c r="X6" s="27"/>
      <c r="Y6" s="27"/>
      <c r="Z6" s="27"/>
      <c r="AA6" s="27"/>
    </row>
    <row r="7" ht="30.0" customHeight="1">
      <c r="A7" s="23" t="s">
        <v>105</v>
      </c>
      <c r="B7" s="24" t="s">
        <v>106</v>
      </c>
      <c r="C7" s="17">
        <v>8.0</v>
      </c>
      <c r="D7" s="26"/>
      <c r="E7" s="26"/>
      <c r="F7" s="26"/>
      <c r="G7" s="26"/>
      <c r="H7" s="26"/>
      <c r="I7" s="26"/>
      <c r="J7" s="26"/>
      <c r="K7" s="26"/>
      <c r="L7" s="26"/>
      <c r="M7" s="26"/>
      <c r="N7" s="26"/>
      <c r="O7" s="26"/>
      <c r="P7" s="27"/>
      <c r="Q7" s="27"/>
      <c r="R7" s="27"/>
      <c r="S7" s="27"/>
      <c r="T7" s="27"/>
      <c r="U7" s="27"/>
      <c r="V7" s="27"/>
      <c r="W7" s="27"/>
      <c r="X7" s="27"/>
      <c r="Y7" s="27"/>
      <c r="Z7" s="27"/>
      <c r="AA7" s="27"/>
    </row>
    <row r="8" ht="30.0" customHeight="1">
      <c r="A8" s="23" t="s">
        <v>110</v>
      </c>
      <c r="B8" s="24" t="s">
        <v>111</v>
      </c>
      <c r="C8" s="17">
        <v>6.0</v>
      </c>
      <c r="D8" s="26"/>
      <c r="E8" s="26"/>
      <c r="F8" s="26"/>
      <c r="G8" s="26"/>
      <c r="H8" s="26"/>
      <c r="I8" s="26"/>
      <c r="J8" s="26"/>
      <c r="K8" s="26"/>
      <c r="L8" s="26"/>
      <c r="M8" s="26"/>
      <c r="N8" s="26"/>
      <c r="O8" s="26"/>
      <c r="P8" s="27"/>
      <c r="Q8" s="27"/>
      <c r="R8" s="27"/>
      <c r="S8" s="27"/>
      <c r="T8" s="27"/>
      <c r="U8" s="27"/>
      <c r="V8" s="27"/>
      <c r="W8" s="27"/>
      <c r="X8" s="27"/>
      <c r="Y8" s="27"/>
      <c r="Z8" s="27"/>
      <c r="AA8" s="27"/>
    </row>
    <row r="9" ht="30.0" customHeight="1">
      <c r="A9" s="23" t="s">
        <v>56</v>
      </c>
      <c r="B9" s="24" t="s">
        <v>113</v>
      </c>
      <c r="C9" s="31">
        <v>8.0</v>
      </c>
      <c r="D9" s="11" t="s">
        <v>115</v>
      </c>
      <c r="E9" s="11" t="s">
        <v>116</v>
      </c>
      <c r="F9" s="11" t="s">
        <v>117</v>
      </c>
      <c r="G9" s="11" t="s">
        <v>118</v>
      </c>
      <c r="H9" s="11" t="s">
        <v>119</v>
      </c>
      <c r="I9" s="11" t="s">
        <v>120</v>
      </c>
      <c r="J9" s="11" t="s">
        <v>121</v>
      </c>
      <c r="K9" s="11" t="s">
        <v>122</v>
      </c>
      <c r="L9" s="11" t="s">
        <v>123</v>
      </c>
      <c r="M9" s="11" t="s">
        <v>125</v>
      </c>
      <c r="N9" s="11" t="s">
        <v>127</v>
      </c>
      <c r="O9" s="11" t="s">
        <v>128</v>
      </c>
      <c r="P9" s="27"/>
      <c r="Q9" s="27"/>
      <c r="R9" s="27"/>
      <c r="S9" s="27"/>
      <c r="T9" s="27"/>
      <c r="U9" s="27"/>
      <c r="V9" s="27"/>
      <c r="W9" s="27"/>
      <c r="X9" s="27"/>
      <c r="Y9" s="27"/>
      <c r="Z9" s="27"/>
      <c r="AA9" s="27"/>
    </row>
    <row r="10" ht="30.0" customHeight="1">
      <c r="A10" s="23" t="s">
        <v>126</v>
      </c>
      <c r="B10" s="24" t="s">
        <v>130</v>
      </c>
      <c r="C10" s="17">
        <v>8.0</v>
      </c>
      <c r="D10" s="30" t="s">
        <v>133</v>
      </c>
      <c r="E10" s="30" t="s">
        <v>134</v>
      </c>
      <c r="F10" s="32" t="s">
        <v>135</v>
      </c>
      <c r="G10" s="32" t="s">
        <v>139</v>
      </c>
      <c r="H10" s="32" t="s">
        <v>141</v>
      </c>
      <c r="I10" s="32" t="s">
        <v>144</v>
      </c>
      <c r="J10" s="33" t="s">
        <v>147</v>
      </c>
      <c r="K10" s="33" t="s">
        <v>93</v>
      </c>
      <c r="L10" s="33" t="s">
        <v>149</v>
      </c>
      <c r="M10" s="33" t="s">
        <v>150</v>
      </c>
      <c r="N10" s="33" t="s">
        <v>151</v>
      </c>
      <c r="O10" s="33" t="s">
        <v>152</v>
      </c>
      <c r="P10" s="27"/>
      <c r="Q10" s="27"/>
      <c r="R10" s="27"/>
      <c r="S10" s="27"/>
      <c r="T10" s="27"/>
      <c r="U10" s="27"/>
      <c r="V10" s="27"/>
      <c r="W10" s="27"/>
      <c r="X10" s="27"/>
      <c r="Y10" s="27"/>
      <c r="Z10" s="27"/>
      <c r="AA10" s="27"/>
    </row>
    <row r="11" ht="30.0" customHeight="1">
      <c r="A11" s="23" t="s">
        <v>58</v>
      </c>
      <c r="B11" s="24" t="s">
        <v>130</v>
      </c>
      <c r="C11" s="17">
        <v>8.0</v>
      </c>
      <c r="D11" s="30" t="s">
        <v>149</v>
      </c>
      <c r="E11" s="30" t="s">
        <v>133</v>
      </c>
      <c r="F11" s="30" t="s">
        <v>154</v>
      </c>
      <c r="G11" s="11" t="s">
        <v>93</v>
      </c>
      <c r="H11" s="30" t="s">
        <v>155</v>
      </c>
      <c r="I11" s="30" t="s">
        <v>139</v>
      </c>
      <c r="J11" s="11" t="s">
        <v>156</v>
      </c>
      <c r="K11" s="11" t="s">
        <v>157</v>
      </c>
      <c r="L11" s="11" t="s">
        <v>158</v>
      </c>
      <c r="M11" s="30" t="s">
        <v>160</v>
      </c>
      <c r="N11" s="30" t="s">
        <v>161</v>
      </c>
      <c r="O11" s="11" t="s">
        <v>162</v>
      </c>
      <c r="P11" s="27"/>
      <c r="Q11" s="27"/>
      <c r="R11" s="27"/>
      <c r="S11" s="27"/>
      <c r="T11" s="27"/>
      <c r="U11" s="27"/>
      <c r="V11" s="27"/>
      <c r="W11" s="27"/>
      <c r="X11" s="27"/>
      <c r="Y11" s="27"/>
      <c r="Z11" s="27"/>
      <c r="AA11" s="27"/>
    </row>
    <row r="12" ht="30.0" customHeight="1">
      <c r="A12" s="23" t="s">
        <v>145</v>
      </c>
      <c r="B12" s="24" t="s">
        <v>164</v>
      </c>
      <c r="C12" s="17">
        <v>8.0</v>
      </c>
      <c r="D12" s="26"/>
      <c r="E12" s="26"/>
      <c r="F12" s="26"/>
      <c r="G12" s="26"/>
      <c r="H12" s="26"/>
      <c r="I12" s="26"/>
      <c r="J12" s="26"/>
      <c r="K12" s="26"/>
      <c r="L12" s="26"/>
      <c r="M12" s="26"/>
      <c r="N12" s="26"/>
      <c r="O12" s="26"/>
      <c r="P12" s="27"/>
      <c r="Q12" s="27"/>
      <c r="R12" s="27"/>
      <c r="S12" s="27"/>
      <c r="T12" s="27"/>
      <c r="U12" s="27"/>
      <c r="V12" s="27"/>
      <c r="W12" s="27"/>
      <c r="X12" s="27"/>
      <c r="Y12" s="27"/>
      <c r="Z12" s="27"/>
      <c r="AA12" s="27"/>
    </row>
    <row r="13" ht="30.0" customHeight="1">
      <c r="A13" s="23" t="s">
        <v>59</v>
      </c>
      <c r="B13" s="24" t="s">
        <v>167</v>
      </c>
      <c r="C13" s="34">
        <v>12.0</v>
      </c>
      <c r="D13" s="4" t="s">
        <v>163</v>
      </c>
      <c r="E13" s="4" t="s">
        <v>173</v>
      </c>
      <c r="F13" s="4" t="s">
        <v>174</v>
      </c>
      <c r="G13" s="9" t="s">
        <v>176</v>
      </c>
      <c r="H13" s="9" t="s">
        <v>177</v>
      </c>
      <c r="I13" s="9" t="s">
        <v>179</v>
      </c>
      <c r="J13" s="9" t="s">
        <v>181</v>
      </c>
      <c r="K13" s="9" t="s">
        <v>183</v>
      </c>
      <c r="L13" s="9" t="s">
        <v>184</v>
      </c>
      <c r="M13" s="9" t="s">
        <v>185</v>
      </c>
      <c r="N13" s="9" t="s">
        <v>187</v>
      </c>
      <c r="O13" s="9" t="s">
        <v>188</v>
      </c>
      <c r="P13" s="11" t="s">
        <v>190</v>
      </c>
      <c r="Q13" s="11" t="s">
        <v>75</v>
      </c>
      <c r="R13" s="27"/>
      <c r="S13" s="27"/>
      <c r="T13" s="27"/>
      <c r="U13" s="27"/>
      <c r="V13" s="27"/>
      <c r="W13" s="27"/>
      <c r="X13" s="27"/>
      <c r="Y13" s="27"/>
      <c r="Z13" s="27"/>
      <c r="AA13" s="27"/>
    </row>
    <row r="14" ht="30.0" customHeight="1">
      <c r="A14" s="23" t="s">
        <v>109</v>
      </c>
      <c r="B14" s="24" t="s">
        <v>193</v>
      </c>
      <c r="C14" s="17">
        <v>8.0</v>
      </c>
      <c r="D14" s="26"/>
      <c r="E14" s="26"/>
      <c r="F14" s="26"/>
      <c r="G14" s="26"/>
      <c r="H14" s="26"/>
      <c r="I14" s="26"/>
      <c r="J14" s="26"/>
      <c r="K14" s="26"/>
      <c r="L14" s="26"/>
      <c r="M14" s="26"/>
      <c r="N14" s="26"/>
      <c r="O14" s="26"/>
      <c r="P14" s="27"/>
      <c r="Q14" s="27"/>
      <c r="R14" s="27"/>
      <c r="S14" s="27"/>
      <c r="T14" s="27"/>
      <c r="U14" s="27"/>
      <c r="V14" s="27"/>
      <c r="W14" s="27"/>
      <c r="X14" s="27"/>
      <c r="Y14" s="27"/>
      <c r="Z14" s="27"/>
      <c r="AA14" s="27"/>
    </row>
    <row r="15" ht="30.0" customHeight="1">
      <c r="A15" s="23" t="s">
        <v>166</v>
      </c>
      <c r="B15" s="24" t="s">
        <v>195</v>
      </c>
      <c r="C15" s="17">
        <v>5.0</v>
      </c>
      <c r="D15" s="30" t="s">
        <v>198</v>
      </c>
      <c r="E15" s="30" t="s">
        <v>199</v>
      </c>
      <c r="F15" s="30" t="s">
        <v>200</v>
      </c>
      <c r="G15" s="30" t="s">
        <v>202</v>
      </c>
      <c r="H15" s="30" t="s">
        <v>204</v>
      </c>
      <c r="I15" s="30" t="s">
        <v>205</v>
      </c>
      <c r="J15" s="26"/>
      <c r="K15" s="26"/>
      <c r="L15" s="26"/>
      <c r="M15" s="26"/>
      <c r="N15" s="26"/>
      <c r="O15" s="26"/>
      <c r="P15" s="27"/>
      <c r="Q15" s="27"/>
      <c r="R15" s="27"/>
      <c r="S15" s="27"/>
      <c r="T15" s="27"/>
      <c r="U15" s="27"/>
      <c r="V15" s="27"/>
      <c r="W15" s="27"/>
      <c r="X15" s="27"/>
      <c r="Y15" s="27"/>
      <c r="Z15" s="27"/>
      <c r="AA15" s="27"/>
    </row>
    <row r="16" ht="30.0" customHeight="1">
      <c r="A16" s="23" t="s">
        <v>148</v>
      </c>
      <c r="B16" s="24" t="s">
        <v>208</v>
      </c>
      <c r="C16" s="31">
        <v>7.0</v>
      </c>
      <c r="D16" s="11" t="s">
        <v>209</v>
      </c>
      <c r="E16" s="11" t="s">
        <v>210</v>
      </c>
      <c r="F16" s="11" t="s">
        <v>129</v>
      </c>
      <c r="G16" s="11" t="s">
        <v>212</v>
      </c>
      <c r="H16" s="11" t="s">
        <v>213</v>
      </c>
      <c r="I16" s="11" t="s">
        <v>214</v>
      </c>
      <c r="J16" s="11" t="s">
        <v>161</v>
      </c>
      <c r="K16" s="26"/>
      <c r="L16" s="26"/>
      <c r="M16" s="26"/>
      <c r="N16" s="26"/>
      <c r="O16" s="26"/>
      <c r="P16" s="27"/>
      <c r="Q16" s="27"/>
      <c r="R16" s="27"/>
      <c r="S16" s="27"/>
      <c r="T16" s="27"/>
      <c r="U16" s="27"/>
      <c r="V16" s="27"/>
      <c r="W16" s="27"/>
      <c r="X16" s="27"/>
      <c r="Y16" s="27"/>
      <c r="Z16" s="27"/>
      <c r="AA16" s="27"/>
    </row>
    <row r="17" ht="30.0" customHeight="1">
      <c r="A17" s="23" t="s">
        <v>169</v>
      </c>
      <c r="B17" s="24" t="s">
        <v>223</v>
      </c>
      <c r="C17" s="17">
        <v>8.0</v>
      </c>
      <c r="D17" s="26"/>
      <c r="E17" s="26"/>
      <c r="F17" s="26"/>
      <c r="G17" s="26"/>
      <c r="H17" s="26"/>
      <c r="I17" s="26"/>
      <c r="J17" s="26"/>
      <c r="K17" s="26"/>
      <c r="L17" s="26"/>
      <c r="M17" s="26"/>
      <c r="N17" s="26"/>
      <c r="O17" s="26"/>
      <c r="P17" s="27"/>
      <c r="Q17" s="27"/>
      <c r="R17" s="27"/>
      <c r="S17" s="27"/>
      <c r="T17" s="27"/>
      <c r="U17" s="27"/>
      <c r="V17" s="27"/>
      <c r="W17" s="27"/>
      <c r="X17" s="27"/>
      <c r="Y17" s="27"/>
      <c r="Z17" s="27"/>
      <c r="AA17" s="27"/>
    </row>
    <row r="18" ht="30.0" customHeight="1">
      <c r="A18" s="23" t="s">
        <v>191</v>
      </c>
      <c r="B18" s="24" t="s">
        <v>226</v>
      </c>
      <c r="C18" s="17">
        <v>8.0</v>
      </c>
      <c r="D18" s="26"/>
      <c r="E18" s="26"/>
      <c r="F18" s="26"/>
      <c r="G18" s="26"/>
      <c r="H18" s="26"/>
      <c r="I18" s="26"/>
      <c r="J18" s="26"/>
      <c r="K18" s="26"/>
      <c r="L18" s="26"/>
      <c r="M18" s="26"/>
      <c r="N18" s="26"/>
      <c r="O18" s="26"/>
      <c r="P18" s="27"/>
      <c r="Q18" s="27"/>
      <c r="R18" s="27"/>
      <c r="S18" s="27"/>
      <c r="T18" s="27"/>
      <c r="U18" s="27"/>
      <c r="V18" s="27"/>
      <c r="W18" s="27"/>
      <c r="X18" s="27"/>
      <c r="Y18" s="27"/>
      <c r="Z18" s="27"/>
      <c r="AA18" s="27"/>
    </row>
    <row r="19" ht="30.0" customHeight="1">
      <c r="A19" s="23" t="s">
        <v>66</v>
      </c>
      <c r="B19" s="24" t="s">
        <v>228</v>
      </c>
      <c r="C19" s="31">
        <v>8.0</v>
      </c>
      <c r="D19" s="11" t="s">
        <v>229</v>
      </c>
      <c r="E19" s="11" t="s">
        <v>57</v>
      </c>
      <c r="F19" s="11" t="s">
        <v>230</v>
      </c>
      <c r="G19" s="11" t="s">
        <v>133</v>
      </c>
      <c r="H19" s="11" t="s">
        <v>231</v>
      </c>
      <c r="I19" s="11" t="s">
        <v>154</v>
      </c>
      <c r="J19" s="26"/>
      <c r="K19" s="26"/>
      <c r="L19" s="26"/>
      <c r="M19" s="26"/>
      <c r="N19" s="26"/>
      <c r="O19" s="26"/>
      <c r="P19" s="27"/>
      <c r="Q19" s="27"/>
      <c r="R19" s="27"/>
      <c r="S19" s="27"/>
      <c r="T19" s="27"/>
      <c r="U19" s="27"/>
      <c r="V19" s="27"/>
      <c r="W19" s="27"/>
      <c r="X19" s="27"/>
      <c r="Y19" s="27"/>
      <c r="Z19" s="27"/>
      <c r="AA19" s="27"/>
    </row>
    <row r="20" ht="30.0" customHeight="1">
      <c r="A20" s="23" t="s">
        <v>197</v>
      </c>
      <c r="B20" s="24" t="s">
        <v>236</v>
      </c>
      <c r="C20" s="17">
        <v>6.0</v>
      </c>
      <c r="D20" s="30" t="s">
        <v>237</v>
      </c>
      <c r="E20" s="30" t="s">
        <v>238</v>
      </c>
      <c r="F20" s="30" t="s">
        <v>239</v>
      </c>
      <c r="G20" s="30" t="s">
        <v>241</v>
      </c>
      <c r="H20" s="30" t="s">
        <v>205</v>
      </c>
      <c r="I20" s="30" t="s">
        <v>242</v>
      </c>
      <c r="J20" s="30" t="s">
        <v>243</v>
      </c>
      <c r="K20" s="26"/>
      <c r="L20" s="26"/>
      <c r="M20" s="30"/>
      <c r="N20" s="30"/>
      <c r="O20" s="30"/>
      <c r="P20" s="27"/>
      <c r="Q20" s="27"/>
      <c r="R20" s="27"/>
      <c r="S20" s="27"/>
      <c r="T20" s="27"/>
      <c r="U20" s="27"/>
      <c r="V20" s="27"/>
      <c r="W20" s="27"/>
      <c r="X20" s="27"/>
      <c r="Y20" s="27"/>
      <c r="Z20" s="27"/>
      <c r="AA20" s="27"/>
    </row>
    <row r="21" ht="30.0" customHeight="1">
      <c r="A21" s="23" t="s">
        <v>207</v>
      </c>
      <c r="B21" s="24" t="s">
        <v>244</v>
      </c>
      <c r="C21" s="17">
        <v>6.0</v>
      </c>
      <c r="D21" s="30" t="s">
        <v>100</v>
      </c>
      <c r="E21" s="30" t="s">
        <v>246</v>
      </c>
      <c r="F21" s="30" t="s">
        <v>247</v>
      </c>
      <c r="G21" s="30" t="s">
        <v>247</v>
      </c>
      <c r="H21" s="30" t="s">
        <v>248</v>
      </c>
      <c r="I21" s="30" t="s">
        <v>249</v>
      </c>
      <c r="J21" s="30" t="s">
        <v>250</v>
      </c>
      <c r="K21" s="30" t="s">
        <v>251</v>
      </c>
      <c r="L21" s="30" t="s">
        <v>252</v>
      </c>
      <c r="M21" s="30" t="s">
        <v>253</v>
      </c>
      <c r="N21" s="30" t="s">
        <v>254</v>
      </c>
      <c r="O21" s="11" t="s">
        <v>125</v>
      </c>
      <c r="P21" s="11" t="s">
        <v>127</v>
      </c>
      <c r="Q21" s="27"/>
      <c r="R21" s="27"/>
      <c r="S21" s="27"/>
      <c r="T21" s="27"/>
      <c r="U21" s="27"/>
      <c r="V21" s="27"/>
      <c r="W21" s="27"/>
      <c r="X21" s="27"/>
      <c r="Y21" s="27"/>
      <c r="Z21" s="27"/>
      <c r="AA21" s="27"/>
    </row>
    <row r="22" ht="30.0" customHeight="1">
      <c r="A22" s="23" t="s">
        <v>83</v>
      </c>
      <c r="B22" s="24" t="s">
        <v>257</v>
      </c>
      <c r="C22" s="17">
        <v>16.0</v>
      </c>
      <c r="D22" s="30" t="s">
        <v>258</v>
      </c>
      <c r="E22" s="30" t="s">
        <v>259</v>
      </c>
      <c r="F22" s="30" t="s">
        <v>261</v>
      </c>
      <c r="G22" s="30" t="s">
        <v>262</v>
      </c>
      <c r="H22" s="30" t="s">
        <v>263</v>
      </c>
      <c r="I22" s="30" t="s">
        <v>264</v>
      </c>
      <c r="J22" s="30" t="s">
        <v>265</v>
      </c>
      <c r="K22" s="11" t="s">
        <v>101</v>
      </c>
      <c r="L22" s="30" t="s">
        <v>249</v>
      </c>
      <c r="M22" s="11" t="s">
        <v>268</v>
      </c>
      <c r="N22" s="30" t="s">
        <v>250</v>
      </c>
      <c r="O22" s="30" t="s">
        <v>216</v>
      </c>
      <c r="P22" s="36" t="s">
        <v>270</v>
      </c>
      <c r="Q22" s="36" t="s">
        <v>274</v>
      </c>
      <c r="R22" s="36" t="s">
        <v>275</v>
      </c>
      <c r="S22" s="36" t="s">
        <v>276</v>
      </c>
      <c r="T22" s="27"/>
      <c r="U22" s="27"/>
      <c r="V22" s="27"/>
      <c r="W22" s="27"/>
      <c r="X22" s="27"/>
      <c r="Y22" s="27"/>
      <c r="Z22" s="27"/>
      <c r="AA22" s="27"/>
    </row>
    <row r="23" ht="30.0" customHeight="1">
      <c r="A23" s="23" t="s">
        <v>219</v>
      </c>
      <c r="B23" s="37" t="s">
        <v>279</v>
      </c>
      <c r="C23" s="31">
        <v>0.0</v>
      </c>
      <c r="E23" s="26"/>
      <c r="F23" s="26"/>
      <c r="G23" s="26"/>
      <c r="I23" s="26"/>
      <c r="J23" s="26"/>
      <c r="K23" s="26"/>
      <c r="L23" s="26"/>
      <c r="M23" s="26"/>
      <c r="N23" s="26"/>
      <c r="O23" s="26"/>
      <c r="T23" s="27"/>
      <c r="U23" s="27"/>
      <c r="V23" s="27"/>
      <c r="W23" s="27"/>
      <c r="X23" s="27"/>
      <c r="Y23" s="27"/>
      <c r="Z23" s="27"/>
      <c r="AA23" s="27"/>
    </row>
    <row r="24" ht="30.0" customHeight="1">
      <c r="A24" s="23" t="s">
        <v>53</v>
      </c>
      <c r="B24" s="37" t="s">
        <v>281</v>
      </c>
      <c r="C24" s="17">
        <v>4.0</v>
      </c>
      <c r="D24" s="30" t="s">
        <v>282</v>
      </c>
      <c r="E24" s="30" t="s">
        <v>283</v>
      </c>
      <c r="F24" s="30" t="s">
        <v>285</v>
      </c>
      <c r="G24" s="30" t="s">
        <v>287</v>
      </c>
      <c r="H24" s="26"/>
      <c r="I24" s="26"/>
      <c r="J24" s="26"/>
      <c r="K24" s="26"/>
      <c r="L24" s="26"/>
      <c r="M24" s="26"/>
      <c r="N24" s="26"/>
      <c r="O24" s="26"/>
      <c r="P24" s="27"/>
      <c r="Q24" s="27"/>
      <c r="R24" s="27"/>
      <c r="S24" s="27"/>
      <c r="T24" s="27"/>
      <c r="U24" s="27"/>
      <c r="V24" s="27"/>
      <c r="W24" s="27"/>
      <c r="X24" s="27"/>
      <c r="Y24" s="27"/>
      <c r="Z24" s="27"/>
      <c r="AA24" s="27"/>
    </row>
    <row r="25" ht="30.0" customHeight="1">
      <c r="A25" s="23" t="s">
        <v>225</v>
      </c>
      <c r="B25" s="24" t="s">
        <v>87</v>
      </c>
      <c r="C25" s="17">
        <v>0.0</v>
      </c>
      <c r="D25" s="26"/>
      <c r="E25" s="26"/>
      <c r="F25" s="26"/>
      <c r="G25" s="26"/>
      <c r="H25" s="26"/>
      <c r="I25" s="26"/>
      <c r="J25" s="26"/>
      <c r="K25" s="26"/>
      <c r="L25" s="26"/>
      <c r="M25" s="26"/>
      <c r="N25" s="26"/>
      <c r="O25" s="26"/>
      <c r="P25" s="27"/>
      <c r="Q25" s="27"/>
      <c r="R25" s="27"/>
      <c r="S25" s="27"/>
      <c r="T25" s="27"/>
      <c r="U25" s="27"/>
      <c r="V25" s="27"/>
      <c r="W25" s="27"/>
      <c r="X25" s="27"/>
      <c r="Y25" s="27"/>
      <c r="Z25" s="27"/>
      <c r="AA25" s="27"/>
    </row>
    <row r="26" ht="30.0" customHeight="1">
      <c r="A26" s="23" t="s">
        <v>82</v>
      </c>
      <c r="B26" s="24" t="s">
        <v>294</v>
      </c>
      <c r="C26" s="17">
        <v>4.0</v>
      </c>
      <c r="D26" s="30" t="s">
        <v>295</v>
      </c>
      <c r="E26" s="30" t="s">
        <v>296</v>
      </c>
      <c r="F26" s="30" t="s">
        <v>298</v>
      </c>
      <c r="G26" s="30" t="s">
        <v>299</v>
      </c>
      <c r="H26" s="26"/>
      <c r="I26" s="26"/>
      <c r="J26" s="26"/>
      <c r="K26" s="26"/>
      <c r="L26" s="26"/>
      <c r="M26" s="26"/>
      <c r="N26" s="26"/>
      <c r="O26" s="26"/>
      <c r="P26" s="27"/>
      <c r="Q26" s="27"/>
      <c r="R26" s="27"/>
      <c r="S26" s="27"/>
      <c r="T26" s="27"/>
      <c r="U26" s="27"/>
      <c r="V26" s="27"/>
      <c r="W26" s="27"/>
      <c r="X26" s="27"/>
      <c r="Y26" s="27"/>
      <c r="Z26" s="27"/>
      <c r="AA26" s="27"/>
    </row>
    <row r="27" ht="30.0" customHeight="1">
      <c r="A27" s="23" t="s">
        <v>235</v>
      </c>
      <c r="B27" s="24" t="s">
        <v>300</v>
      </c>
      <c r="C27" s="17">
        <v>8.0</v>
      </c>
      <c r="D27" s="26"/>
      <c r="E27" s="26"/>
      <c r="F27" s="26"/>
      <c r="G27" s="26"/>
      <c r="H27" s="26"/>
      <c r="I27" s="26"/>
      <c r="J27" s="26"/>
      <c r="K27" s="26"/>
      <c r="L27" s="26"/>
      <c r="M27" s="26"/>
      <c r="N27" s="26"/>
      <c r="O27" s="26"/>
      <c r="P27" s="27"/>
      <c r="Q27" s="27"/>
      <c r="R27" s="27"/>
      <c r="S27" s="27"/>
      <c r="T27" s="27"/>
      <c r="U27" s="27"/>
      <c r="V27" s="27"/>
      <c r="W27" s="27"/>
      <c r="X27" s="27"/>
      <c r="Y27" s="27"/>
      <c r="Z27" s="27"/>
      <c r="AA27" s="27"/>
    </row>
    <row r="28" ht="30.0" customHeight="1">
      <c r="A28" s="23" t="s">
        <v>34</v>
      </c>
      <c r="B28" s="24" t="s">
        <v>303</v>
      </c>
      <c r="C28" s="17">
        <v>10.0</v>
      </c>
      <c r="D28" s="26"/>
      <c r="E28" s="26"/>
      <c r="F28" s="26"/>
      <c r="G28" s="26"/>
      <c r="H28" s="26"/>
      <c r="I28" s="26"/>
      <c r="J28" s="26"/>
      <c r="K28" s="26"/>
      <c r="L28" s="26"/>
      <c r="M28" s="26"/>
      <c r="N28" s="26"/>
      <c r="O28" s="26"/>
      <c r="P28" s="27"/>
      <c r="Q28" s="27"/>
      <c r="R28" s="27"/>
      <c r="S28" s="27"/>
      <c r="T28" s="27"/>
      <c r="U28" s="27"/>
      <c r="V28" s="27"/>
      <c r="W28" s="27"/>
      <c r="X28" s="27"/>
      <c r="Y28" s="27"/>
      <c r="Z28" s="27"/>
      <c r="AA28" s="27"/>
    </row>
    <row r="29" ht="30.0" customHeight="1">
      <c r="A29" s="23" t="s">
        <v>54</v>
      </c>
      <c r="B29" s="24" t="s">
        <v>307</v>
      </c>
      <c r="C29" s="31">
        <v>12.0</v>
      </c>
      <c r="D29" s="11" t="s">
        <v>309</v>
      </c>
      <c r="E29" s="11" t="s">
        <v>96</v>
      </c>
      <c r="F29" s="11" t="s">
        <v>311</v>
      </c>
      <c r="G29" s="11" t="s">
        <v>285</v>
      </c>
      <c r="H29" s="11" t="s">
        <v>312</v>
      </c>
      <c r="I29" s="11" t="s">
        <v>202</v>
      </c>
      <c r="J29" s="11" t="s">
        <v>313</v>
      </c>
      <c r="K29" s="11" t="s">
        <v>314</v>
      </c>
      <c r="L29" s="11" t="s">
        <v>316</v>
      </c>
      <c r="M29" s="11" t="s">
        <v>317</v>
      </c>
      <c r="N29" s="11" t="s">
        <v>254</v>
      </c>
      <c r="O29" s="11" t="s">
        <v>318</v>
      </c>
      <c r="P29" s="27"/>
      <c r="Q29" s="27"/>
      <c r="R29" s="27"/>
      <c r="S29" s="27"/>
      <c r="T29" s="27"/>
      <c r="U29" s="27"/>
      <c r="V29" s="27"/>
      <c r="W29" s="27"/>
      <c r="X29" s="27"/>
      <c r="Y29" s="27"/>
      <c r="Z29" s="27"/>
      <c r="AA29" s="27"/>
    </row>
    <row r="30" ht="30.0" customHeight="1">
      <c r="A30" s="23" t="s">
        <v>273</v>
      </c>
      <c r="B30" s="24" t="s">
        <v>319</v>
      </c>
      <c r="C30" s="17">
        <v>6.0</v>
      </c>
      <c r="D30" s="26"/>
      <c r="E30" s="26"/>
      <c r="F30" s="26"/>
      <c r="G30" s="26"/>
      <c r="H30" s="26"/>
      <c r="I30" s="26"/>
      <c r="K30" s="26"/>
      <c r="L30" s="26"/>
      <c r="M30" s="26"/>
      <c r="N30" s="26"/>
      <c r="O30" s="26"/>
      <c r="P30" s="27"/>
      <c r="Q30" s="27"/>
      <c r="R30" s="27"/>
      <c r="S30" s="27"/>
      <c r="T30" s="27"/>
      <c r="U30" s="27"/>
      <c r="V30" s="27"/>
      <c r="W30" s="27"/>
      <c r="X30" s="27"/>
      <c r="Y30" s="27"/>
      <c r="Z30" s="27"/>
      <c r="AA30" s="27"/>
    </row>
    <row r="31" ht="30.0" customHeight="1">
      <c r="A31" s="23" t="s">
        <v>132</v>
      </c>
      <c r="B31" s="24" t="s">
        <v>325</v>
      </c>
      <c r="C31" s="17">
        <v>8.0</v>
      </c>
      <c r="D31" s="11" t="s">
        <v>326</v>
      </c>
      <c r="E31" s="11" t="s">
        <v>327</v>
      </c>
      <c r="F31" s="11" t="s">
        <v>328</v>
      </c>
      <c r="G31" s="11" t="s">
        <v>329</v>
      </c>
      <c r="H31" s="11" t="s">
        <v>330</v>
      </c>
      <c r="I31" s="11" t="s">
        <v>331</v>
      </c>
      <c r="J31" s="11" t="s">
        <v>332</v>
      </c>
      <c r="K31" s="11" t="s">
        <v>333</v>
      </c>
      <c r="L31" s="11" t="s">
        <v>334</v>
      </c>
      <c r="M31" s="11" t="s">
        <v>333</v>
      </c>
      <c r="N31" s="11" t="s">
        <v>285</v>
      </c>
      <c r="O31" s="11" t="s">
        <v>337</v>
      </c>
      <c r="P31" s="27"/>
      <c r="Q31" s="27"/>
      <c r="R31" s="27"/>
      <c r="S31" s="27"/>
      <c r="T31" s="27"/>
      <c r="U31" s="27"/>
      <c r="V31" s="27"/>
      <c r="W31" s="27"/>
      <c r="X31" s="27"/>
      <c r="Y31" s="27"/>
      <c r="Z31" s="27"/>
      <c r="AA31" s="27"/>
    </row>
    <row r="32" ht="30.0" customHeight="1">
      <c r="A32" s="23" t="s">
        <v>85</v>
      </c>
      <c r="B32" s="24" t="s">
        <v>338</v>
      </c>
      <c r="C32" s="17">
        <v>4.0</v>
      </c>
      <c r="D32" s="30" t="s">
        <v>340</v>
      </c>
      <c r="E32" s="30" t="s">
        <v>227</v>
      </c>
      <c r="F32" s="30" t="s">
        <v>342</v>
      </c>
      <c r="G32" s="30" t="s">
        <v>102</v>
      </c>
      <c r="H32" s="30" t="s">
        <v>343</v>
      </c>
      <c r="I32" s="30" t="s">
        <v>253</v>
      </c>
      <c r="J32" s="30" t="s">
        <v>264</v>
      </c>
      <c r="K32" s="26"/>
      <c r="L32" s="26"/>
      <c r="M32" s="26"/>
      <c r="N32" s="26"/>
      <c r="O32" s="26"/>
      <c r="P32" s="27"/>
      <c r="Q32" s="27"/>
      <c r="R32" s="27"/>
      <c r="S32" s="27"/>
      <c r="T32" s="27"/>
      <c r="U32" s="27"/>
      <c r="V32" s="27"/>
      <c r="W32" s="27"/>
      <c r="X32" s="27"/>
      <c r="Y32" s="27"/>
      <c r="Z32" s="27"/>
      <c r="AA32" s="27"/>
    </row>
    <row r="33" ht="30.0" customHeight="1">
      <c r="A33" s="23" t="s">
        <v>289</v>
      </c>
      <c r="B33" s="24" t="s">
        <v>348</v>
      </c>
      <c r="C33" s="17">
        <v>12.0</v>
      </c>
      <c r="D33" s="26"/>
      <c r="E33" s="26"/>
      <c r="F33" s="26"/>
      <c r="G33" s="26"/>
      <c r="H33" s="26"/>
      <c r="I33" s="26"/>
      <c r="J33" s="26"/>
      <c r="K33" s="26"/>
      <c r="L33" s="26"/>
      <c r="M33" s="26"/>
      <c r="N33" s="26"/>
      <c r="O33" s="26"/>
      <c r="P33" s="27"/>
      <c r="Q33" s="27"/>
      <c r="R33" s="27"/>
      <c r="S33" s="27"/>
      <c r="T33" s="27"/>
      <c r="U33" s="27"/>
      <c r="V33" s="27"/>
      <c r="W33" s="27"/>
      <c r="X33" s="27"/>
      <c r="Y33" s="27"/>
      <c r="Z33" s="27"/>
      <c r="AA33" s="27"/>
    </row>
    <row r="34" ht="30.0" customHeight="1">
      <c r="A34" s="23" t="s">
        <v>291</v>
      </c>
      <c r="B34" s="24" t="s">
        <v>353</v>
      </c>
      <c r="C34" s="17">
        <v>4.0</v>
      </c>
      <c r="D34" s="30" t="s">
        <v>330</v>
      </c>
      <c r="E34" s="30" t="s">
        <v>356</v>
      </c>
      <c r="F34" s="30" t="s">
        <v>357</v>
      </c>
      <c r="G34" s="30" t="s">
        <v>333</v>
      </c>
      <c r="H34" s="30" t="s">
        <v>358</v>
      </c>
      <c r="I34" s="30" t="s">
        <v>359</v>
      </c>
      <c r="J34" s="26"/>
      <c r="K34" s="26"/>
      <c r="L34" s="26"/>
      <c r="M34" s="26"/>
      <c r="N34" s="26"/>
      <c r="O34" s="26"/>
      <c r="P34" s="27"/>
      <c r="Q34" s="27"/>
      <c r="R34" s="27"/>
      <c r="S34" s="27"/>
      <c r="T34" s="27"/>
      <c r="U34" s="27"/>
      <c r="V34" s="27"/>
      <c r="W34" s="27"/>
      <c r="X34" s="27"/>
      <c r="Y34" s="27"/>
      <c r="Z34" s="27"/>
      <c r="AA34" s="27"/>
    </row>
    <row r="35" ht="30.0" customHeight="1">
      <c r="A35" s="23" t="s">
        <v>293</v>
      </c>
      <c r="B35" s="24" t="s">
        <v>362</v>
      </c>
      <c r="C35" s="17">
        <v>6.0</v>
      </c>
      <c r="D35" s="26"/>
      <c r="E35" s="26"/>
      <c r="F35" s="26"/>
      <c r="G35" s="26"/>
      <c r="H35" s="26"/>
      <c r="I35" s="26"/>
      <c r="J35" s="26"/>
      <c r="K35" s="26"/>
      <c r="L35" s="26"/>
      <c r="M35" s="26"/>
      <c r="N35" s="26"/>
      <c r="O35" s="26"/>
      <c r="P35" s="27"/>
      <c r="Q35" s="27"/>
      <c r="R35" s="27"/>
      <c r="S35" s="27"/>
      <c r="T35" s="27"/>
      <c r="U35" s="27"/>
      <c r="V35" s="27"/>
      <c r="W35" s="27"/>
      <c r="X35" s="27"/>
      <c r="Y35" s="27"/>
      <c r="Z35" s="27"/>
      <c r="AA35" s="27"/>
    </row>
    <row r="36" ht="30.0" customHeight="1">
      <c r="A36" s="23" t="s">
        <v>305</v>
      </c>
      <c r="B36" s="24" t="s">
        <v>365</v>
      </c>
      <c r="C36" s="17">
        <v>4.0</v>
      </c>
      <c r="D36" s="26"/>
      <c r="E36" s="26"/>
      <c r="F36" s="26"/>
      <c r="G36" s="26"/>
      <c r="H36" s="26"/>
      <c r="I36" s="26"/>
      <c r="J36" s="26"/>
      <c r="K36" s="26"/>
      <c r="L36" s="26"/>
      <c r="M36" s="26"/>
      <c r="N36" s="26"/>
      <c r="O36" s="26"/>
      <c r="P36" s="27"/>
      <c r="Q36" s="27"/>
      <c r="R36" s="27"/>
      <c r="S36" s="27"/>
      <c r="T36" s="27"/>
      <c r="U36" s="27"/>
      <c r="V36" s="27"/>
      <c r="W36" s="27"/>
      <c r="X36" s="27"/>
      <c r="Y36" s="27"/>
      <c r="Z36" s="27"/>
      <c r="AA36" s="27"/>
    </row>
    <row r="37" ht="30.0" customHeight="1">
      <c r="A37" s="23" t="s">
        <v>51</v>
      </c>
      <c r="B37" s="24" t="s">
        <v>370</v>
      </c>
      <c r="C37" s="31">
        <v>4.0</v>
      </c>
      <c r="D37" s="11" t="s">
        <v>149</v>
      </c>
      <c r="E37" s="11" t="s">
        <v>371</v>
      </c>
      <c r="F37" s="11" t="s">
        <v>90</v>
      </c>
      <c r="G37" s="11" t="s">
        <v>372</v>
      </c>
      <c r="H37" s="11" t="s">
        <v>26</v>
      </c>
      <c r="I37" s="11" t="s">
        <v>119</v>
      </c>
      <c r="K37" s="30"/>
      <c r="L37" s="30"/>
      <c r="M37" s="30"/>
      <c r="N37" s="26"/>
      <c r="O37" s="26"/>
      <c r="P37" s="27"/>
      <c r="Q37" s="27"/>
      <c r="R37" s="27"/>
      <c r="S37" s="27"/>
      <c r="T37" s="27"/>
      <c r="U37" s="27"/>
      <c r="V37" s="27"/>
      <c r="W37" s="27"/>
      <c r="X37" s="27"/>
      <c r="Y37" s="27"/>
      <c r="Z37" s="27"/>
      <c r="AA37" s="27"/>
    </row>
    <row r="38" ht="30.0" customHeight="1">
      <c r="A38" s="23" t="s">
        <v>52</v>
      </c>
      <c r="B38" s="24" t="s">
        <v>370</v>
      </c>
      <c r="C38" s="31">
        <v>6.0</v>
      </c>
      <c r="D38" s="11" t="s">
        <v>96</v>
      </c>
      <c r="E38" s="11" t="s">
        <v>373</v>
      </c>
      <c r="F38" s="11" t="s">
        <v>139</v>
      </c>
      <c r="G38" s="11" t="s">
        <v>374</v>
      </c>
      <c r="H38" s="11" t="s">
        <v>375</v>
      </c>
      <c r="I38" s="11" t="s">
        <v>158</v>
      </c>
      <c r="J38" s="11" t="s">
        <v>376</v>
      </c>
      <c r="K38" s="11" t="s">
        <v>311</v>
      </c>
      <c r="L38" s="11" t="s">
        <v>378</v>
      </c>
      <c r="M38" s="11" t="s">
        <v>210</v>
      </c>
      <c r="N38" s="26"/>
      <c r="O38" s="26"/>
      <c r="P38" s="27"/>
      <c r="Q38" s="27"/>
      <c r="R38" s="27"/>
      <c r="S38" s="27"/>
      <c r="T38" s="27"/>
      <c r="U38" s="27"/>
      <c r="V38" s="27"/>
      <c r="W38" s="27"/>
      <c r="X38" s="27"/>
      <c r="Y38" s="27"/>
      <c r="Z38" s="27"/>
      <c r="AA38" s="27"/>
    </row>
    <row r="39" ht="30.0" customHeight="1">
      <c r="A39" s="23" t="s">
        <v>336</v>
      </c>
      <c r="B39" s="24" t="s">
        <v>383</v>
      </c>
      <c r="C39" s="17">
        <v>8.0</v>
      </c>
      <c r="D39" s="30" t="s">
        <v>384</v>
      </c>
      <c r="E39" s="30" t="s">
        <v>385</v>
      </c>
      <c r="F39" s="30" t="s">
        <v>386</v>
      </c>
      <c r="G39" s="30" t="s">
        <v>357</v>
      </c>
      <c r="H39" s="30" t="s">
        <v>387</v>
      </c>
      <c r="I39" s="30" t="s">
        <v>388</v>
      </c>
      <c r="J39" s="30" t="s">
        <v>389</v>
      </c>
      <c r="K39" s="30" t="s">
        <v>390</v>
      </c>
      <c r="L39" s="30" t="s">
        <v>326</v>
      </c>
      <c r="M39" s="30" t="s">
        <v>391</v>
      </c>
      <c r="N39" s="30" t="s">
        <v>150</v>
      </c>
      <c r="O39" s="30" t="s">
        <v>160</v>
      </c>
      <c r="P39" s="27"/>
      <c r="Q39" s="27"/>
      <c r="R39" s="27"/>
      <c r="S39" s="27"/>
      <c r="T39" s="27"/>
      <c r="U39" s="27"/>
      <c r="V39" s="27"/>
      <c r="W39" s="27"/>
      <c r="X39" s="27"/>
      <c r="Y39" s="27"/>
      <c r="Z39" s="27"/>
      <c r="AA39" s="27"/>
    </row>
    <row r="40" ht="30.0" customHeight="1">
      <c r="A40" s="23" t="s">
        <v>341</v>
      </c>
      <c r="B40" s="24" t="s">
        <v>392</v>
      </c>
      <c r="C40" s="17">
        <v>8.0</v>
      </c>
      <c r="D40" s="26"/>
      <c r="E40" s="26"/>
      <c r="F40" s="26"/>
      <c r="G40" s="26"/>
      <c r="H40" s="26"/>
      <c r="I40" s="26"/>
      <c r="J40" s="26"/>
      <c r="K40" s="26"/>
      <c r="L40" s="26"/>
      <c r="M40" s="26"/>
      <c r="N40" s="26"/>
      <c r="O40" s="26"/>
      <c r="P40" s="27"/>
      <c r="Q40" s="27"/>
      <c r="R40" s="27"/>
      <c r="S40" s="27"/>
      <c r="T40" s="27"/>
      <c r="U40" s="27"/>
      <c r="V40" s="27"/>
      <c r="W40" s="27"/>
      <c r="X40" s="27"/>
      <c r="Y40" s="27"/>
      <c r="Z40" s="27"/>
      <c r="AA40" s="27"/>
    </row>
    <row r="41" ht="30.0" customHeight="1">
      <c r="A41" s="23" t="s">
        <v>346</v>
      </c>
      <c r="B41" s="24" t="s">
        <v>393</v>
      </c>
      <c r="C41" s="31">
        <v>4.0</v>
      </c>
      <c r="D41" s="11" t="s">
        <v>329</v>
      </c>
      <c r="E41" s="11" t="s">
        <v>396</v>
      </c>
      <c r="F41" s="11" t="s">
        <v>270</v>
      </c>
      <c r="G41" s="26"/>
      <c r="H41" s="26"/>
      <c r="I41" s="26"/>
      <c r="J41" s="26"/>
      <c r="K41" s="26"/>
      <c r="L41" s="26"/>
      <c r="M41" s="26"/>
      <c r="N41" s="26"/>
      <c r="O41" s="26"/>
      <c r="P41" s="27"/>
      <c r="Q41" s="27"/>
      <c r="R41" s="27"/>
      <c r="S41" s="27"/>
      <c r="T41" s="27"/>
      <c r="U41" s="27"/>
      <c r="V41" s="27"/>
      <c r="W41" s="27"/>
      <c r="X41" s="27"/>
      <c r="Y41" s="27"/>
      <c r="Z41" s="27"/>
      <c r="AA41" s="27"/>
    </row>
    <row r="42" ht="30.0" customHeight="1">
      <c r="A42" s="23" t="s">
        <v>323</v>
      </c>
      <c r="B42" s="24" t="s">
        <v>397</v>
      </c>
      <c r="C42" s="17">
        <v>8.0</v>
      </c>
      <c r="D42" s="26"/>
      <c r="E42" s="26"/>
      <c r="F42" s="26"/>
      <c r="G42" s="26"/>
      <c r="H42" s="26"/>
      <c r="I42" s="26"/>
      <c r="J42" s="26"/>
      <c r="K42" s="26"/>
      <c r="L42" s="26"/>
      <c r="M42" s="26"/>
      <c r="N42" s="26"/>
      <c r="O42" s="26"/>
      <c r="P42" s="27"/>
      <c r="Q42" s="27"/>
      <c r="R42" s="27"/>
      <c r="S42" s="27"/>
      <c r="T42" s="27"/>
      <c r="U42" s="27"/>
      <c r="V42" s="27"/>
      <c r="W42" s="27"/>
      <c r="X42" s="27"/>
      <c r="Y42" s="27"/>
      <c r="Z42" s="27"/>
      <c r="AA42" s="27"/>
    </row>
    <row r="43" ht="30.0" customHeight="1">
      <c r="A43" s="23" t="s">
        <v>60</v>
      </c>
      <c r="B43" s="24" t="s">
        <v>401</v>
      </c>
      <c r="C43" s="31">
        <v>10.0</v>
      </c>
      <c r="D43" s="11" t="s">
        <v>402</v>
      </c>
      <c r="E43" s="11" t="s">
        <v>403</v>
      </c>
      <c r="F43" s="11" t="s">
        <v>404</v>
      </c>
      <c r="G43" s="42" t="s">
        <v>259</v>
      </c>
      <c r="H43" s="43" t="s">
        <v>205</v>
      </c>
      <c r="I43" s="43" t="s">
        <v>405</v>
      </c>
      <c r="J43" s="43" t="s">
        <v>156</v>
      </c>
      <c r="K43" s="42" t="s">
        <v>198</v>
      </c>
      <c r="L43" s="43" t="s">
        <v>406</v>
      </c>
      <c r="M43" s="44" t="s">
        <v>407</v>
      </c>
      <c r="N43" s="45" t="s">
        <v>188</v>
      </c>
      <c r="O43" s="45" t="s">
        <v>127</v>
      </c>
      <c r="P43" s="27"/>
      <c r="Q43" s="27"/>
      <c r="R43" s="27"/>
      <c r="S43" s="27"/>
      <c r="T43" s="27"/>
      <c r="U43" s="27"/>
      <c r="V43" s="27"/>
      <c r="W43" s="27"/>
      <c r="X43" s="27"/>
      <c r="Y43" s="27"/>
      <c r="Z43" s="27"/>
      <c r="AA43" s="27"/>
    </row>
    <row r="44" ht="30.0" customHeight="1">
      <c r="A44" s="23" t="s">
        <v>171</v>
      </c>
      <c r="B44" s="24" t="s">
        <v>410</v>
      </c>
      <c r="C44" s="17">
        <v>4.0</v>
      </c>
      <c r="D44" s="26"/>
      <c r="E44" s="26"/>
      <c r="F44" s="26"/>
      <c r="G44" s="26"/>
      <c r="H44" s="26"/>
      <c r="I44" s="26"/>
      <c r="J44" s="26"/>
      <c r="K44" s="26"/>
      <c r="L44" s="26"/>
      <c r="M44" s="26"/>
      <c r="N44" s="26"/>
      <c r="O44" s="26"/>
      <c r="P44" s="27"/>
      <c r="Q44" s="27"/>
      <c r="R44" s="27"/>
      <c r="S44" s="27"/>
      <c r="T44" s="27"/>
      <c r="U44" s="27"/>
      <c r="V44" s="27"/>
      <c r="W44" s="27"/>
      <c r="X44" s="27"/>
      <c r="Y44" s="27"/>
      <c r="Z44" s="27"/>
      <c r="AA44" s="27"/>
    </row>
    <row r="45" ht="30.0" customHeight="1">
      <c r="A45" s="23" t="s">
        <v>364</v>
      </c>
      <c r="B45" s="24" t="s">
        <v>411</v>
      </c>
      <c r="C45" s="17">
        <v>8.0</v>
      </c>
      <c r="D45" s="26"/>
      <c r="E45" s="26"/>
      <c r="F45" s="26"/>
      <c r="G45" s="26"/>
      <c r="H45" s="26"/>
      <c r="I45" s="26"/>
      <c r="J45" s="26"/>
      <c r="K45" s="26"/>
      <c r="L45" s="26"/>
      <c r="M45" s="26"/>
      <c r="N45" s="26"/>
      <c r="O45" s="26"/>
      <c r="P45" s="27"/>
      <c r="Q45" s="27"/>
      <c r="R45" s="27"/>
      <c r="S45" s="27"/>
      <c r="T45" s="27"/>
      <c r="U45" s="27"/>
      <c r="V45" s="27"/>
      <c r="W45" s="27"/>
      <c r="X45" s="27"/>
      <c r="Y45" s="27"/>
      <c r="Z45" s="27"/>
      <c r="AA45" s="27"/>
    </row>
    <row r="46" ht="30.0" customHeight="1">
      <c r="A46" s="46" t="s">
        <v>368</v>
      </c>
      <c r="B46" s="47" t="s">
        <v>415</v>
      </c>
      <c r="C46" s="39">
        <v>6.0</v>
      </c>
      <c r="D46" s="27"/>
      <c r="E46" s="27"/>
      <c r="F46" s="27"/>
      <c r="G46" s="27"/>
      <c r="H46" s="27"/>
      <c r="I46" s="27"/>
      <c r="J46" s="27"/>
      <c r="K46" s="27"/>
      <c r="L46" s="27"/>
      <c r="M46" s="27"/>
      <c r="N46" s="27"/>
      <c r="O46" s="27"/>
      <c r="P46" s="27"/>
      <c r="Q46" s="27"/>
      <c r="R46" s="27"/>
      <c r="S46" s="27"/>
      <c r="T46" s="27"/>
      <c r="U46" s="27"/>
      <c r="V46" s="27"/>
      <c r="W46" s="27"/>
      <c r="X46" s="27"/>
      <c r="Y46" s="27"/>
      <c r="Z46" s="27"/>
      <c r="AA46" s="27"/>
    </row>
    <row r="47" ht="30.0" customHeight="1">
      <c r="A47" s="46"/>
      <c r="B47" s="48"/>
      <c r="C47" s="49"/>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50"/>
      <c r="B48" s="48"/>
      <c r="C48" s="49"/>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50"/>
      <c r="B49" s="48"/>
      <c r="C49" s="49"/>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50"/>
      <c r="B50" s="48"/>
      <c r="C50" s="49"/>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50"/>
      <c r="B51" s="48"/>
      <c r="C51" s="49"/>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50"/>
      <c r="B52" s="48"/>
      <c r="C52" s="49"/>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50"/>
      <c r="B53" s="48"/>
      <c r="C53" s="49"/>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50"/>
      <c r="B54" s="48"/>
      <c r="C54" s="49"/>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50"/>
      <c r="B55" s="48"/>
      <c r="C55" s="49"/>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50"/>
      <c r="B56" s="48"/>
      <c r="C56" s="49"/>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50"/>
      <c r="B57" s="48"/>
      <c r="C57" s="49"/>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50"/>
      <c r="B58" s="48"/>
      <c r="C58" s="49"/>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50"/>
      <c r="B59" s="48"/>
      <c r="C59" s="49"/>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50"/>
      <c r="B60" s="48"/>
      <c r="C60" s="49"/>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50"/>
      <c r="B61" s="48"/>
      <c r="C61" s="49"/>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50"/>
      <c r="B62" s="48"/>
      <c r="C62" s="49"/>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50"/>
      <c r="B63" s="48"/>
      <c r="C63" s="49"/>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50"/>
      <c r="B64" s="48"/>
      <c r="C64" s="49"/>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50"/>
      <c r="B65" s="48"/>
      <c r="C65" s="49"/>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50"/>
      <c r="B66" s="48"/>
      <c r="C66" s="49"/>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50"/>
      <c r="B67" s="48"/>
      <c r="C67" s="49"/>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50"/>
      <c r="B68" s="48"/>
      <c r="C68" s="49"/>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50"/>
      <c r="B69" s="48"/>
      <c r="C69" s="49"/>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50"/>
      <c r="B70" s="48"/>
      <c r="C70" s="49"/>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50"/>
      <c r="B71" s="48"/>
      <c r="C71" s="49"/>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50"/>
      <c r="B72" s="48"/>
      <c r="C72" s="49"/>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50"/>
      <c r="B73" s="48"/>
      <c r="C73" s="49"/>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50"/>
      <c r="B74" s="48"/>
      <c r="C74" s="49"/>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50"/>
      <c r="B75" s="48"/>
      <c r="C75" s="49"/>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50"/>
      <c r="B76" s="48"/>
      <c r="C76" s="49"/>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50"/>
      <c r="B77" s="48"/>
      <c r="C77" s="49"/>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50"/>
      <c r="B78" s="48"/>
      <c r="C78" s="49"/>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50"/>
      <c r="B79" s="48"/>
      <c r="C79" s="49"/>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50"/>
      <c r="B80" s="48"/>
      <c r="C80" s="49"/>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50"/>
      <c r="B81" s="48"/>
      <c r="C81" s="49"/>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50"/>
      <c r="B82" s="48"/>
      <c r="C82" s="49"/>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50"/>
      <c r="B83" s="48"/>
      <c r="C83" s="49"/>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50"/>
      <c r="B84" s="48"/>
      <c r="C84" s="49"/>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50"/>
      <c r="B85" s="48"/>
      <c r="C85" s="49"/>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50"/>
      <c r="B86" s="48"/>
      <c r="C86" s="49"/>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50"/>
      <c r="B87" s="48"/>
      <c r="C87" s="49"/>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50"/>
      <c r="B88" s="48"/>
      <c r="C88" s="49"/>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50"/>
      <c r="B89" s="48"/>
      <c r="C89" s="49"/>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50"/>
      <c r="B90" s="48"/>
      <c r="C90" s="49"/>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50"/>
      <c r="B91" s="48"/>
      <c r="C91" s="49"/>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50"/>
      <c r="B92" s="48"/>
      <c r="C92" s="49"/>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50"/>
      <c r="B93" s="48"/>
      <c r="C93" s="49"/>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50"/>
      <c r="B94" s="48"/>
      <c r="C94" s="49"/>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50"/>
      <c r="B95" s="48"/>
      <c r="C95" s="49"/>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50"/>
      <c r="B96" s="48"/>
      <c r="C96" s="49"/>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50"/>
      <c r="B97" s="48"/>
      <c r="C97" s="49"/>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50"/>
      <c r="B98" s="48"/>
      <c r="C98" s="49"/>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50"/>
      <c r="B99" s="48"/>
      <c r="C99" s="49"/>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50"/>
      <c r="B100" s="48"/>
      <c r="C100" s="49"/>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50"/>
      <c r="B101" s="48"/>
      <c r="C101" s="49"/>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50"/>
      <c r="B102" s="48"/>
      <c r="C102" s="49"/>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50"/>
      <c r="B103" s="48"/>
      <c r="C103" s="49"/>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50"/>
      <c r="B104" s="48"/>
      <c r="C104" s="49"/>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50"/>
      <c r="B105" s="48"/>
      <c r="C105" s="49"/>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50"/>
      <c r="B106" s="48"/>
      <c r="C106" s="49"/>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50"/>
      <c r="B107" s="48"/>
      <c r="C107" s="49"/>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50"/>
      <c r="B108" s="48"/>
      <c r="C108" s="49"/>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50"/>
      <c r="B109" s="48"/>
      <c r="C109" s="49"/>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50"/>
      <c r="B110" s="48"/>
      <c r="C110" s="49"/>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50"/>
      <c r="B111" s="48"/>
      <c r="C111" s="49"/>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50"/>
      <c r="B112" s="48"/>
      <c r="C112" s="49"/>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50"/>
      <c r="B113" s="48"/>
      <c r="C113" s="49"/>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50"/>
      <c r="B114" s="48"/>
      <c r="C114" s="49"/>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50"/>
      <c r="B115" s="48"/>
      <c r="C115" s="49"/>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50"/>
      <c r="B116" s="48"/>
      <c r="C116" s="49"/>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50"/>
      <c r="B117" s="48"/>
      <c r="C117" s="49"/>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50"/>
      <c r="B118" s="48"/>
      <c r="C118" s="49"/>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50"/>
      <c r="B119" s="48"/>
      <c r="C119" s="49"/>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50"/>
      <c r="B120" s="48"/>
      <c r="C120" s="49"/>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50"/>
      <c r="B121" s="48"/>
      <c r="C121" s="49"/>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50"/>
      <c r="B122" s="48"/>
      <c r="C122" s="49"/>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50"/>
      <c r="B123" s="48"/>
      <c r="C123" s="49"/>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50"/>
      <c r="B124" s="48"/>
      <c r="C124" s="49"/>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50"/>
      <c r="B125" s="48"/>
      <c r="C125" s="49"/>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50"/>
      <c r="B126" s="48"/>
      <c r="C126" s="49"/>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50"/>
      <c r="B127" s="48"/>
      <c r="C127" s="49"/>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50"/>
      <c r="B128" s="48"/>
      <c r="C128" s="49"/>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50"/>
      <c r="B129" s="48"/>
      <c r="C129" s="49"/>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50"/>
      <c r="B130" s="48"/>
      <c r="C130" s="49"/>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50"/>
      <c r="B131" s="48"/>
      <c r="C131" s="49"/>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50"/>
      <c r="B132" s="48"/>
      <c r="C132" s="49"/>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50"/>
      <c r="B133" s="48"/>
      <c r="C133" s="49"/>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50"/>
      <c r="B134" s="48"/>
      <c r="C134" s="49"/>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50"/>
      <c r="B135" s="48"/>
      <c r="C135" s="49"/>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50"/>
      <c r="B136" s="48"/>
      <c r="C136" s="49"/>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50"/>
      <c r="B137" s="48"/>
      <c r="C137" s="49"/>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50"/>
      <c r="B138" s="48"/>
      <c r="C138" s="49"/>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50"/>
      <c r="B139" s="48"/>
      <c r="C139" s="49"/>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50"/>
      <c r="B140" s="48"/>
      <c r="C140" s="49"/>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50"/>
      <c r="B141" s="48"/>
      <c r="C141" s="49"/>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50"/>
      <c r="B142" s="48"/>
      <c r="C142" s="49"/>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50"/>
      <c r="B143" s="48"/>
      <c r="C143" s="49"/>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50"/>
      <c r="B144" s="48"/>
      <c r="C144" s="49"/>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50"/>
      <c r="B145" s="48"/>
      <c r="C145" s="49"/>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50"/>
      <c r="B146" s="48"/>
      <c r="C146" s="49"/>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50"/>
      <c r="B147" s="48"/>
      <c r="C147" s="49"/>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50"/>
      <c r="B148" s="48"/>
      <c r="C148" s="49"/>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50"/>
      <c r="B149" s="48"/>
      <c r="C149" s="49"/>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50"/>
      <c r="B150" s="48"/>
      <c r="C150" s="49"/>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50"/>
      <c r="B151" s="48"/>
      <c r="C151" s="49"/>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50"/>
      <c r="B152" s="48"/>
      <c r="C152" s="49"/>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50"/>
      <c r="B153" s="48"/>
      <c r="C153" s="49"/>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50"/>
      <c r="B154" s="48"/>
      <c r="C154" s="49"/>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50"/>
      <c r="B155" s="48"/>
      <c r="C155" s="49"/>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50"/>
      <c r="B156" s="48"/>
      <c r="C156" s="49"/>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50"/>
      <c r="B157" s="48"/>
      <c r="C157" s="49"/>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50"/>
      <c r="B158" s="48"/>
      <c r="C158" s="49"/>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50"/>
      <c r="B159" s="48"/>
      <c r="C159" s="49"/>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50"/>
      <c r="B160" s="48"/>
      <c r="C160" s="49"/>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50"/>
      <c r="B161" s="48"/>
      <c r="C161" s="49"/>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50"/>
      <c r="B162" s="48"/>
      <c r="C162" s="49"/>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50"/>
      <c r="B163" s="48"/>
      <c r="C163" s="49"/>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50"/>
      <c r="B164" s="48"/>
      <c r="C164" s="49"/>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50"/>
      <c r="B165" s="48"/>
      <c r="C165" s="49"/>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50"/>
      <c r="B166" s="48"/>
      <c r="C166" s="49"/>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50"/>
      <c r="B167" s="48"/>
      <c r="C167" s="49"/>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50"/>
      <c r="B168" s="48"/>
      <c r="C168" s="49"/>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50"/>
      <c r="B169" s="48"/>
      <c r="C169" s="49"/>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50"/>
      <c r="B170" s="48"/>
      <c r="C170" s="49"/>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50"/>
      <c r="B171" s="48"/>
      <c r="C171" s="49"/>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50"/>
      <c r="B172" s="48"/>
      <c r="C172" s="49"/>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50"/>
      <c r="B173" s="48"/>
      <c r="C173" s="49"/>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50"/>
      <c r="B174" s="48"/>
      <c r="C174" s="49"/>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50"/>
      <c r="B175" s="48"/>
      <c r="C175" s="49"/>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50"/>
      <c r="B176" s="48"/>
      <c r="C176" s="49"/>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50"/>
      <c r="B177" s="48"/>
      <c r="C177" s="49"/>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50"/>
      <c r="B178" s="48"/>
      <c r="C178" s="49"/>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50"/>
      <c r="B179" s="48"/>
      <c r="C179" s="49"/>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50"/>
      <c r="B180" s="48"/>
      <c r="C180" s="49"/>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50"/>
      <c r="B181" s="48"/>
      <c r="C181" s="49"/>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50"/>
      <c r="B182" s="48"/>
      <c r="C182" s="49"/>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50"/>
      <c r="B183" s="48"/>
      <c r="C183" s="49"/>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50"/>
      <c r="B184" s="48"/>
      <c r="C184" s="49"/>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50"/>
      <c r="B185" s="48"/>
      <c r="C185" s="49"/>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50"/>
      <c r="B186" s="48"/>
      <c r="C186" s="49"/>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50"/>
      <c r="B187" s="48"/>
      <c r="C187" s="49"/>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50"/>
      <c r="B188" s="48"/>
      <c r="C188" s="49"/>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50"/>
      <c r="B189" s="48"/>
      <c r="C189" s="49"/>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50"/>
      <c r="B190" s="48"/>
      <c r="C190" s="49"/>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50"/>
      <c r="B191" s="48"/>
      <c r="C191" s="49"/>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50"/>
      <c r="B192" s="48"/>
      <c r="C192" s="49"/>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50"/>
      <c r="B193" s="48"/>
      <c r="C193" s="49"/>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50"/>
      <c r="B194" s="48"/>
      <c r="C194" s="49"/>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50"/>
      <c r="B195" s="48"/>
      <c r="C195" s="49"/>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50"/>
      <c r="B196" s="48"/>
      <c r="C196" s="49"/>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50"/>
      <c r="B197" s="48"/>
      <c r="C197" s="49"/>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50"/>
      <c r="B198" s="48"/>
      <c r="C198" s="49"/>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50"/>
      <c r="B199" s="48"/>
      <c r="C199" s="49"/>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50"/>
      <c r="B200" s="48"/>
      <c r="C200" s="49"/>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50"/>
      <c r="B201" s="48"/>
      <c r="C201" s="49"/>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50"/>
      <c r="B202" s="48"/>
      <c r="C202" s="49"/>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50"/>
      <c r="B203" s="48"/>
      <c r="C203" s="49"/>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50"/>
      <c r="B204" s="48"/>
      <c r="C204" s="49"/>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50"/>
      <c r="B205" s="48"/>
      <c r="C205" s="49"/>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50"/>
      <c r="B206" s="48"/>
      <c r="C206" s="49"/>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50"/>
      <c r="B207" s="48"/>
      <c r="C207" s="49"/>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50"/>
      <c r="B208" s="48"/>
      <c r="C208" s="49"/>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50"/>
      <c r="B209" s="48"/>
      <c r="C209" s="49"/>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50"/>
      <c r="B210" s="48"/>
      <c r="C210" s="49"/>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50"/>
      <c r="B211" s="48"/>
      <c r="C211" s="49"/>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50"/>
      <c r="B212" s="48"/>
      <c r="C212" s="49"/>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50"/>
      <c r="B213" s="48"/>
      <c r="C213" s="49"/>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50"/>
      <c r="B214" s="48"/>
      <c r="C214" s="49"/>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50"/>
      <c r="B215" s="48"/>
      <c r="C215" s="49"/>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50"/>
      <c r="B216" s="48"/>
      <c r="C216" s="49"/>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50"/>
      <c r="B217" s="48"/>
      <c r="C217" s="49"/>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50"/>
      <c r="B218" s="48"/>
      <c r="C218" s="49"/>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50"/>
      <c r="B219" s="48"/>
      <c r="C219" s="49"/>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50"/>
      <c r="B220" s="48"/>
      <c r="C220" s="49"/>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50"/>
      <c r="B221" s="48"/>
      <c r="C221" s="49"/>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50"/>
      <c r="B222" s="48"/>
      <c r="C222" s="49"/>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50"/>
      <c r="B223" s="48"/>
      <c r="C223" s="49"/>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50"/>
      <c r="B224" s="48"/>
      <c r="C224" s="49"/>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50"/>
      <c r="B225" s="48"/>
      <c r="C225" s="49"/>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50"/>
      <c r="B226" s="48"/>
      <c r="C226" s="49"/>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50"/>
      <c r="B227" s="48"/>
      <c r="C227" s="49"/>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50"/>
      <c r="B228" s="48"/>
      <c r="C228" s="49"/>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50"/>
      <c r="B229" s="48"/>
      <c r="C229" s="49"/>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50"/>
      <c r="B230" s="48"/>
      <c r="C230" s="49"/>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50"/>
      <c r="B231" s="48"/>
      <c r="C231" s="49"/>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50"/>
      <c r="B232" s="48"/>
      <c r="C232" s="49"/>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50"/>
      <c r="B233" s="48"/>
      <c r="C233" s="49"/>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50"/>
      <c r="B234" s="48"/>
      <c r="C234" s="49"/>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50"/>
      <c r="B235" s="48"/>
      <c r="C235" s="49"/>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50"/>
      <c r="B236" s="48"/>
      <c r="C236" s="49"/>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50"/>
      <c r="B237" s="48"/>
      <c r="C237" s="49"/>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50"/>
      <c r="B238" s="48"/>
      <c r="C238" s="49"/>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50"/>
      <c r="B239" s="48"/>
      <c r="C239" s="49"/>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50"/>
      <c r="B240" s="48"/>
      <c r="C240" s="49"/>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50"/>
      <c r="B241" s="48"/>
      <c r="C241" s="49"/>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50"/>
      <c r="B242" s="48"/>
      <c r="C242" s="49"/>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50"/>
      <c r="B243" s="48"/>
      <c r="C243" s="49"/>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50"/>
      <c r="B244" s="48"/>
      <c r="C244" s="49"/>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50"/>
      <c r="B245" s="48"/>
      <c r="C245" s="49"/>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50"/>
      <c r="B246" s="48"/>
      <c r="C246" s="49"/>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50"/>
      <c r="B247" s="48"/>
      <c r="C247" s="49"/>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50"/>
      <c r="B248" s="48"/>
      <c r="C248" s="49"/>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50"/>
      <c r="B249" s="48"/>
      <c r="C249" s="49"/>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50"/>
      <c r="B250" s="48"/>
      <c r="C250" s="49"/>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50"/>
      <c r="B251" s="48"/>
      <c r="C251" s="49"/>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50"/>
      <c r="B252" s="48"/>
      <c r="C252" s="49"/>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50"/>
      <c r="B253" s="48"/>
      <c r="C253" s="49"/>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50"/>
      <c r="B254" s="48"/>
      <c r="C254" s="49"/>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50"/>
      <c r="B255" s="48"/>
      <c r="C255" s="49"/>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50"/>
      <c r="B256" s="48"/>
      <c r="C256" s="49"/>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50"/>
      <c r="B257" s="48"/>
      <c r="C257" s="49"/>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50"/>
      <c r="B258" s="48"/>
      <c r="C258" s="49"/>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50"/>
      <c r="B259" s="48"/>
      <c r="C259" s="49"/>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50"/>
      <c r="B260" s="48"/>
      <c r="C260" s="49"/>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50"/>
      <c r="B261" s="48"/>
      <c r="C261" s="49"/>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50"/>
      <c r="B262" s="48"/>
      <c r="C262" s="49"/>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50"/>
      <c r="B263" s="48"/>
      <c r="C263" s="49"/>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50"/>
      <c r="B264" s="48"/>
      <c r="C264" s="49"/>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50"/>
      <c r="B265" s="48"/>
      <c r="C265" s="49"/>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50"/>
      <c r="B266" s="48"/>
      <c r="C266" s="49"/>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50"/>
      <c r="B267" s="48"/>
      <c r="C267" s="49"/>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50"/>
      <c r="B268" s="48"/>
      <c r="C268" s="49"/>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50"/>
      <c r="B269" s="48"/>
      <c r="C269" s="49"/>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50"/>
      <c r="B270" s="48"/>
      <c r="C270" s="49"/>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50"/>
      <c r="B271" s="48"/>
      <c r="C271" s="49"/>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50"/>
      <c r="B272" s="48"/>
      <c r="C272" s="49"/>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50"/>
      <c r="B273" s="48"/>
      <c r="C273" s="49"/>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50"/>
      <c r="B274" s="48"/>
      <c r="C274" s="49"/>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50"/>
      <c r="B275" s="48"/>
      <c r="C275" s="49"/>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50"/>
      <c r="B276" s="48"/>
      <c r="C276" s="49"/>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50"/>
      <c r="B277" s="48"/>
      <c r="C277" s="49"/>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50"/>
      <c r="B278" s="48"/>
      <c r="C278" s="49"/>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50"/>
      <c r="B279" s="48"/>
      <c r="C279" s="49"/>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50"/>
      <c r="B280" s="48"/>
      <c r="C280" s="49"/>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50"/>
      <c r="B281" s="48"/>
      <c r="C281" s="49"/>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50"/>
      <c r="B282" s="48"/>
      <c r="C282" s="49"/>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50"/>
      <c r="B283" s="48"/>
      <c r="C283" s="49"/>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50"/>
      <c r="B284" s="48"/>
      <c r="C284" s="49"/>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50"/>
      <c r="B285" s="48"/>
      <c r="C285" s="49"/>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50"/>
      <c r="B286" s="48"/>
      <c r="C286" s="49"/>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50"/>
      <c r="B287" s="48"/>
      <c r="C287" s="49"/>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50"/>
      <c r="B288" s="48"/>
      <c r="C288" s="49"/>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50"/>
      <c r="B289" s="48"/>
      <c r="C289" s="49"/>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50"/>
      <c r="B290" s="48"/>
      <c r="C290" s="49"/>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50"/>
      <c r="B291" s="48"/>
      <c r="C291" s="49"/>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50"/>
      <c r="B292" s="48"/>
      <c r="C292" s="49"/>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50"/>
      <c r="B293" s="48"/>
      <c r="C293" s="49"/>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50"/>
      <c r="B294" s="48"/>
      <c r="C294" s="49"/>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50"/>
      <c r="B295" s="48"/>
      <c r="C295" s="49"/>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50"/>
      <c r="B296" s="48"/>
      <c r="C296" s="49"/>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50"/>
      <c r="B297" s="48"/>
      <c r="C297" s="49"/>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50"/>
      <c r="B298" s="48"/>
      <c r="C298" s="49"/>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50"/>
      <c r="B299" s="48"/>
      <c r="C299" s="49"/>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50"/>
      <c r="B300" s="48"/>
      <c r="C300" s="49"/>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50"/>
      <c r="B301" s="48"/>
      <c r="C301" s="49"/>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50"/>
      <c r="B302" s="48"/>
      <c r="C302" s="49"/>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50"/>
      <c r="B303" s="48"/>
      <c r="C303" s="49"/>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50"/>
      <c r="B304" s="48"/>
      <c r="C304" s="49"/>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50"/>
      <c r="B305" s="48"/>
      <c r="C305" s="49"/>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50"/>
      <c r="B306" s="48"/>
      <c r="C306" s="49"/>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50"/>
      <c r="B307" s="48"/>
      <c r="C307" s="49"/>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50"/>
      <c r="B308" s="48"/>
      <c r="C308" s="49"/>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50"/>
      <c r="B309" s="48"/>
      <c r="C309" s="49"/>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50"/>
      <c r="B310" s="48"/>
      <c r="C310" s="49"/>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50"/>
      <c r="B311" s="48"/>
      <c r="C311" s="49"/>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50"/>
      <c r="B312" s="48"/>
      <c r="C312" s="49"/>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50"/>
      <c r="B313" s="48"/>
      <c r="C313" s="49"/>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50"/>
      <c r="B314" s="48"/>
      <c r="C314" s="49"/>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50"/>
      <c r="B315" s="48"/>
      <c r="C315" s="49"/>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50"/>
      <c r="B316" s="48"/>
      <c r="C316" s="49"/>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50"/>
      <c r="B317" s="48"/>
      <c r="C317" s="49"/>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50"/>
      <c r="B318" s="48"/>
      <c r="C318" s="49"/>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50"/>
      <c r="B319" s="48"/>
      <c r="C319" s="49"/>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50"/>
      <c r="B320" s="48"/>
      <c r="C320" s="49"/>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50"/>
      <c r="B321" s="48"/>
      <c r="C321" s="49"/>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50"/>
      <c r="B322" s="48"/>
      <c r="C322" s="49"/>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50"/>
      <c r="B323" s="48"/>
      <c r="C323" s="49"/>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50"/>
      <c r="B324" s="48"/>
      <c r="C324" s="49"/>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50"/>
      <c r="B325" s="48"/>
      <c r="C325" s="49"/>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50"/>
      <c r="B326" s="48"/>
      <c r="C326" s="49"/>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50"/>
      <c r="B327" s="48"/>
      <c r="C327" s="49"/>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50"/>
      <c r="B328" s="48"/>
      <c r="C328" s="49"/>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50"/>
      <c r="B329" s="48"/>
      <c r="C329" s="49"/>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50"/>
      <c r="B330" s="48"/>
      <c r="C330" s="49"/>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50"/>
      <c r="B331" s="48"/>
      <c r="C331" s="49"/>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50"/>
      <c r="B332" s="48"/>
      <c r="C332" s="49"/>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50"/>
      <c r="B333" s="48"/>
      <c r="C333" s="49"/>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50"/>
      <c r="B334" s="48"/>
      <c r="C334" s="49"/>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50"/>
      <c r="B335" s="48"/>
      <c r="C335" s="49"/>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50"/>
      <c r="B336" s="48"/>
      <c r="C336" s="49"/>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50"/>
      <c r="B337" s="48"/>
      <c r="C337" s="49"/>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50"/>
      <c r="B338" s="48"/>
      <c r="C338" s="49"/>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50"/>
      <c r="B339" s="48"/>
      <c r="C339" s="49"/>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50"/>
      <c r="B340" s="48"/>
      <c r="C340" s="49"/>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50"/>
      <c r="B341" s="48"/>
      <c r="C341" s="49"/>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50"/>
      <c r="B342" s="48"/>
      <c r="C342" s="49"/>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50"/>
      <c r="B343" s="48"/>
      <c r="C343" s="49"/>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50"/>
      <c r="B344" s="48"/>
      <c r="C344" s="49"/>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50"/>
      <c r="B345" s="48"/>
      <c r="C345" s="49"/>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50"/>
      <c r="B346" s="48"/>
      <c r="C346" s="49"/>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50"/>
      <c r="B347" s="48"/>
      <c r="C347" s="49"/>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50"/>
      <c r="B348" s="48"/>
      <c r="C348" s="49"/>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50"/>
      <c r="B349" s="48"/>
      <c r="C349" s="49"/>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50"/>
      <c r="B350" s="48"/>
      <c r="C350" s="49"/>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50"/>
      <c r="B351" s="48"/>
      <c r="C351" s="49"/>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50"/>
      <c r="B352" s="48"/>
      <c r="C352" s="49"/>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50"/>
      <c r="B353" s="48"/>
      <c r="C353" s="49"/>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50"/>
      <c r="B354" s="48"/>
      <c r="C354" s="49"/>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50"/>
      <c r="B355" s="48"/>
      <c r="C355" s="49"/>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50"/>
      <c r="B356" s="48"/>
      <c r="C356" s="49"/>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50"/>
      <c r="B357" s="48"/>
      <c r="C357" s="49"/>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50"/>
      <c r="B358" s="48"/>
      <c r="C358" s="49"/>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50"/>
      <c r="B359" s="48"/>
      <c r="C359" s="49"/>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50"/>
      <c r="B360" s="48"/>
      <c r="C360" s="49"/>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50"/>
      <c r="B361" s="48"/>
      <c r="C361" s="49"/>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50"/>
      <c r="B362" s="48"/>
      <c r="C362" s="49"/>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50"/>
      <c r="B363" s="48"/>
      <c r="C363" s="49"/>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50"/>
      <c r="B364" s="48"/>
      <c r="C364" s="49"/>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50"/>
      <c r="B365" s="48"/>
      <c r="C365" s="49"/>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50"/>
      <c r="B366" s="48"/>
      <c r="C366" s="49"/>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50"/>
      <c r="B367" s="48"/>
      <c r="C367" s="49"/>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50"/>
      <c r="B368" s="48"/>
      <c r="C368" s="49"/>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50"/>
      <c r="B369" s="48"/>
      <c r="C369" s="49"/>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50"/>
      <c r="B370" s="48"/>
      <c r="C370" s="49"/>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50"/>
      <c r="B371" s="48"/>
      <c r="C371" s="49"/>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50"/>
      <c r="B372" s="48"/>
      <c r="C372" s="49"/>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50"/>
      <c r="B373" s="48"/>
      <c r="C373" s="49"/>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50"/>
      <c r="B374" s="48"/>
      <c r="C374" s="49"/>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50"/>
      <c r="B375" s="48"/>
      <c r="C375" s="49"/>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50"/>
      <c r="B376" s="48"/>
      <c r="C376" s="49"/>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50"/>
      <c r="B377" s="48"/>
      <c r="C377" s="49"/>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50"/>
      <c r="B378" s="48"/>
      <c r="C378" s="49"/>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50"/>
      <c r="B379" s="48"/>
      <c r="C379" s="49"/>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50"/>
      <c r="B380" s="48"/>
      <c r="C380" s="49"/>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50"/>
      <c r="B381" s="48"/>
      <c r="C381" s="49"/>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50"/>
      <c r="B382" s="48"/>
      <c r="C382" s="49"/>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50"/>
      <c r="B383" s="48"/>
      <c r="C383" s="49"/>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50"/>
      <c r="B384" s="48"/>
      <c r="C384" s="49"/>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50"/>
      <c r="B385" s="48"/>
      <c r="C385" s="49"/>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50"/>
      <c r="B386" s="48"/>
      <c r="C386" s="49"/>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50"/>
      <c r="B387" s="48"/>
      <c r="C387" s="49"/>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50"/>
      <c r="B388" s="48"/>
      <c r="C388" s="49"/>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50"/>
      <c r="B389" s="48"/>
      <c r="C389" s="49"/>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50"/>
      <c r="B390" s="48"/>
      <c r="C390" s="49"/>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50"/>
      <c r="B391" s="48"/>
      <c r="C391" s="49"/>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50"/>
      <c r="B392" s="48"/>
      <c r="C392" s="49"/>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50"/>
      <c r="B393" s="48"/>
      <c r="C393" s="49"/>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50"/>
      <c r="B394" s="48"/>
      <c r="C394" s="49"/>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50"/>
      <c r="B395" s="48"/>
      <c r="C395" s="49"/>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50"/>
      <c r="B396" s="48"/>
      <c r="C396" s="49"/>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50"/>
      <c r="B397" s="48"/>
      <c r="C397" s="49"/>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50"/>
      <c r="B398" s="48"/>
      <c r="C398" s="49"/>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50"/>
      <c r="B399" s="48"/>
      <c r="C399" s="49"/>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50"/>
      <c r="B400" s="48"/>
      <c r="C400" s="49"/>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50"/>
      <c r="B401" s="48"/>
      <c r="C401" s="49"/>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50"/>
      <c r="B402" s="48"/>
      <c r="C402" s="49"/>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50"/>
      <c r="B403" s="48"/>
      <c r="C403" s="49"/>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50"/>
      <c r="B404" s="48"/>
      <c r="C404" s="49"/>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50"/>
      <c r="B405" s="48"/>
      <c r="C405" s="49"/>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50"/>
      <c r="B406" s="48"/>
      <c r="C406" s="49"/>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50"/>
      <c r="B407" s="48"/>
      <c r="C407" s="49"/>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50"/>
      <c r="B408" s="48"/>
      <c r="C408" s="49"/>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50"/>
      <c r="B409" s="48"/>
      <c r="C409" s="49"/>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50"/>
      <c r="B410" s="48"/>
      <c r="C410" s="49"/>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50"/>
      <c r="B411" s="48"/>
      <c r="C411" s="49"/>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50"/>
      <c r="B412" s="48"/>
      <c r="C412" s="49"/>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50"/>
      <c r="B413" s="48"/>
      <c r="C413" s="49"/>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50"/>
      <c r="B414" s="48"/>
      <c r="C414" s="49"/>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50"/>
      <c r="B415" s="48"/>
      <c r="C415" s="49"/>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50"/>
      <c r="B416" s="48"/>
      <c r="C416" s="49"/>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50"/>
      <c r="B417" s="48"/>
      <c r="C417" s="49"/>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50"/>
      <c r="B418" s="48"/>
      <c r="C418" s="49"/>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50"/>
      <c r="B419" s="48"/>
      <c r="C419" s="49"/>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50"/>
      <c r="B420" s="48"/>
      <c r="C420" s="49"/>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50"/>
      <c r="B421" s="48"/>
      <c r="C421" s="49"/>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50"/>
      <c r="B422" s="48"/>
      <c r="C422" s="49"/>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50"/>
      <c r="B423" s="48"/>
      <c r="C423" s="49"/>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50"/>
      <c r="B424" s="48"/>
      <c r="C424" s="49"/>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50"/>
      <c r="B425" s="48"/>
      <c r="C425" s="49"/>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50"/>
      <c r="B426" s="48"/>
      <c r="C426" s="49"/>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50"/>
      <c r="B427" s="48"/>
      <c r="C427" s="49"/>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50"/>
      <c r="B428" s="48"/>
      <c r="C428" s="49"/>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50"/>
      <c r="B429" s="48"/>
      <c r="C429" s="49"/>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50"/>
      <c r="B430" s="48"/>
      <c r="C430" s="49"/>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50"/>
      <c r="B431" s="48"/>
      <c r="C431" s="49"/>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50"/>
      <c r="B432" s="48"/>
      <c r="C432" s="49"/>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50"/>
      <c r="B433" s="48"/>
      <c r="C433" s="49"/>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50"/>
      <c r="B434" s="48"/>
      <c r="C434" s="49"/>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50"/>
      <c r="B435" s="48"/>
      <c r="C435" s="49"/>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50"/>
      <c r="B436" s="48"/>
      <c r="C436" s="49"/>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50"/>
      <c r="B437" s="48"/>
      <c r="C437" s="49"/>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50"/>
      <c r="B438" s="48"/>
      <c r="C438" s="49"/>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50"/>
      <c r="B439" s="48"/>
      <c r="C439" s="49"/>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50"/>
      <c r="B440" s="48"/>
      <c r="C440" s="49"/>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50"/>
      <c r="B441" s="48"/>
      <c r="C441" s="49"/>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50"/>
      <c r="B442" s="48"/>
      <c r="C442" s="49"/>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50"/>
      <c r="B443" s="48"/>
      <c r="C443" s="49"/>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50"/>
      <c r="B444" s="48"/>
      <c r="C444" s="49"/>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50"/>
      <c r="B445" s="48"/>
      <c r="C445" s="49"/>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50"/>
      <c r="B446" s="48"/>
      <c r="C446" s="49"/>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50"/>
      <c r="B447" s="48"/>
      <c r="C447" s="49"/>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50"/>
      <c r="B448" s="48"/>
      <c r="C448" s="49"/>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50"/>
      <c r="B449" s="48"/>
      <c r="C449" s="49"/>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50"/>
      <c r="B450" s="48"/>
      <c r="C450" s="49"/>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50"/>
      <c r="B451" s="48"/>
      <c r="C451" s="49"/>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50"/>
      <c r="B452" s="48"/>
      <c r="C452" s="49"/>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50"/>
      <c r="B453" s="48"/>
      <c r="C453" s="49"/>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50"/>
      <c r="B454" s="48"/>
      <c r="C454" s="49"/>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50"/>
      <c r="B455" s="48"/>
      <c r="C455" s="49"/>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50"/>
      <c r="B456" s="48"/>
      <c r="C456" s="49"/>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50"/>
      <c r="B457" s="48"/>
      <c r="C457" s="49"/>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50"/>
      <c r="B458" s="48"/>
      <c r="C458" s="49"/>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50"/>
      <c r="B459" s="48"/>
      <c r="C459" s="49"/>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50"/>
      <c r="B460" s="48"/>
      <c r="C460" s="49"/>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50"/>
      <c r="B461" s="48"/>
      <c r="C461" s="49"/>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50"/>
      <c r="B462" s="48"/>
      <c r="C462" s="49"/>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50"/>
      <c r="B463" s="48"/>
      <c r="C463" s="49"/>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50"/>
      <c r="B464" s="48"/>
      <c r="C464" s="49"/>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50"/>
      <c r="B465" s="48"/>
      <c r="C465" s="49"/>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50"/>
      <c r="B466" s="48"/>
      <c r="C466" s="49"/>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50"/>
      <c r="B467" s="48"/>
      <c r="C467" s="49"/>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50"/>
      <c r="B468" s="48"/>
      <c r="C468" s="49"/>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50"/>
      <c r="B469" s="48"/>
      <c r="C469" s="49"/>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50"/>
      <c r="B470" s="48"/>
      <c r="C470" s="49"/>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50"/>
      <c r="B471" s="48"/>
      <c r="C471" s="49"/>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50"/>
      <c r="B472" s="48"/>
      <c r="C472" s="49"/>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50"/>
      <c r="B473" s="48"/>
      <c r="C473" s="49"/>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50"/>
      <c r="B474" s="48"/>
      <c r="C474" s="49"/>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50"/>
      <c r="B475" s="48"/>
      <c r="C475" s="49"/>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50"/>
      <c r="B476" s="48"/>
      <c r="C476" s="49"/>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50"/>
      <c r="B477" s="48"/>
      <c r="C477" s="49"/>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50"/>
      <c r="B478" s="48"/>
      <c r="C478" s="49"/>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50"/>
      <c r="B479" s="48"/>
      <c r="C479" s="49"/>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50"/>
      <c r="B480" s="48"/>
      <c r="C480" s="49"/>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50"/>
      <c r="B481" s="48"/>
      <c r="C481" s="49"/>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50"/>
      <c r="B482" s="48"/>
      <c r="C482" s="49"/>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50"/>
      <c r="B483" s="48"/>
      <c r="C483" s="49"/>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50"/>
      <c r="B484" s="48"/>
      <c r="C484" s="49"/>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50"/>
      <c r="B485" s="48"/>
      <c r="C485" s="49"/>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50"/>
      <c r="B486" s="48"/>
      <c r="C486" s="49"/>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50"/>
      <c r="B487" s="48"/>
      <c r="C487" s="49"/>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50"/>
      <c r="B488" s="48"/>
      <c r="C488" s="49"/>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50"/>
      <c r="B489" s="48"/>
      <c r="C489" s="49"/>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50"/>
      <c r="B490" s="48"/>
      <c r="C490" s="49"/>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50"/>
      <c r="B491" s="48"/>
      <c r="C491" s="49"/>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50"/>
      <c r="B492" s="48"/>
      <c r="C492" s="49"/>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50"/>
      <c r="B493" s="48"/>
      <c r="C493" s="49"/>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50"/>
      <c r="B494" s="48"/>
      <c r="C494" s="49"/>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50"/>
      <c r="B495" s="48"/>
      <c r="C495" s="49"/>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50"/>
      <c r="B496" s="48"/>
      <c r="C496" s="49"/>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50"/>
      <c r="B497" s="48"/>
      <c r="C497" s="49"/>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50"/>
      <c r="B498" s="48"/>
      <c r="C498" s="49"/>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50"/>
      <c r="B499" s="48"/>
      <c r="C499" s="49"/>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50"/>
      <c r="B500" s="48"/>
      <c r="C500" s="49"/>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50"/>
      <c r="B501" s="48"/>
      <c r="C501" s="49"/>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50"/>
      <c r="B502" s="48"/>
      <c r="C502" s="49"/>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50"/>
      <c r="B503" s="48"/>
      <c r="C503" s="49"/>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50"/>
      <c r="B504" s="48"/>
      <c r="C504" s="49"/>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50"/>
      <c r="B505" s="48"/>
      <c r="C505" s="49"/>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50"/>
      <c r="B506" s="48"/>
      <c r="C506" s="49"/>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50"/>
      <c r="B507" s="48"/>
      <c r="C507" s="49"/>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50"/>
      <c r="B508" s="48"/>
      <c r="C508" s="49"/>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50"/>
      <c r="B509" s="48"/>
      <c r="C509" s="49"/>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50"/>
      <c r="B510" s="48"/>
      <c r="C510" s="49"/>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50"/>
      <c r="B511" s="48"/>
      <c r="C511" s="49"/>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50"/>
      <c r="B512" s="48"/>
      <c r="C512" s="49"/>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50"/>
      <c r="B513" s="48"/>
      <c r="C513" s="49"/>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50"/>
      <c r="B514" s="48"/>
      <c r="C514" s="49"/>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50"/>
      <c r="B515" s="48"/>
      <c r="C515" s="49"/>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50"/>
      <c r="B516" s="48"/>
      <c r="C516" s="49"/>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50"/>
      <c r="B517" s="48"/>
      <c r="C517" s="49"/>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50"/>
      <c r="B518" s="48"/>
      <c r="C518" s="49"/>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50"/>
      <c r="B519" s="48"/>
      <c r="C519" s="49"/>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50"/>
      <c r="B520" s="48"/>
      <c r="C520" s="49"/>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50"/>
      <c r="B521" s="48"/>
      <c r="C521" s="49"/>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50"/>
      <c r="B522" s="48"/>
      <c r="C522" s="49"/>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50"/>
      <c r="B523" s="48"/>
      <c r="C523" s="49"/>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50"/>
      <c r="B524" s="48"/>
      <c r="C524" s="49"/>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50"/>
      <c r="B525" s="48"/>
      <c r="C525" s="49"/>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50"/>
      <c r="B526" s="48"/>
      <c r="C526" s="49"/>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50"/>
      <c r="B527" s="48"/>
      <c r="C527" s="49"/>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50"/>
      <c r="B528" s="48"/>
      <c r="C528" s="49"/>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50"/>
      <c r="B529" s="48"/>
      <c r="C529" s="49"/>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50"/>
      <c r="B530" s="48"/>
      <c r="C530" s="49"/>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50"/>
      <c r="B531" s="48"/>
      <c r="C531" s="49"/>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50"/>
      <c r="B532" s="48"/>
      <c r="C532" s="49"/>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50"/>
      <c r="B533" s="48"/>
      <c r="C533" s="49"/>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50"/>
      <c r="B534" s="48"/>
      <c r="C534" s="49"/>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50"/>
      <c r="B535" s="48"/>
      <c r="C535" s="49"/>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50"/>
      <c r="B536" s="48"/>
      <c r="C536" s="49"/>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50"/>
      <c r="B537" s="48"/>
      <c r="C537" s="49"/>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50"/>
      <c r="B538" s="48"/>
      <c r="C538" s="49"/>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50"/>
      <c r="B539" s="48"/>
      <c r="C539" s="49"/>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50"/>
      <c r="B540" s="48"/>
      <c r="C540" s="49"/>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50"/>
      <c r="B541" s="48"/>
      <c r="C541" s="49"/>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50"/>
      <c r="B542" s="48"/>
      <c r="C542" s="49"/>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50"/>
      <c r="B543" s="48"/>
      <c r="C543" s="49"/>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50"/>
      <c r="B544" s="48"/>
      <c r="C544" s="49"/>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50"/>
      <c r="B545" s="48"/>
      <c r="C545" s="49"/>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50"/>
      <c r="B546" s="48"/>
      <c r="C546" s="49"/>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50"/>
      <c r="B547" s="48"/>
      <c r="C547" s="49"/>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50"/>
      <c r="B548" s="48"/>
      <c r="C548" s="49"/>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50"/>
      <c r="B549" s="48"/>
      <c r="C549" s="49"/>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50"/>
      <c r="B550" s="48"/>
      <c r="C550" s="49"/>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50"/>
      <c r="B551" s="48"/>
      <c r="C551" s="49"/>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50"/>
      <c r="B552" s="48"/>
      <c r="C552" s="49"/>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50"/>
      <c r="B553" s="48"/>
      <c r="C553" s="49"/>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50"/>
      <c r="B554" s="48"/>
      <c r="C554" s="49"/>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50"/>
      <c r="B555" s="48"/>
      <c r="C555" s="49"/>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50"/>
      <c r="B556" s="48"/>
      <c r="C556" s="49"/>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50"/>
      <c r="B557" s="48"/>
      <c r="C557" s="49"/>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50"/>
      <c r="B558" s="48"/>
      <c r="C558" s="49"/>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50"/>
      <c r="B559" s="48"/>
      <c r="C559" s="49"/>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50"/>
      <c r="B560" s="48"/>
      <c r="C560" s="49"/>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50"/>
      <c r="B561" s="48"/>
      <c r="C561" s="49"/>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50"/>
      <c r="B562" s="48"/>
      <c r="C562" s="49"/>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50"/>
      <c r="B563" s="48"/>
      <c r="C563" s="49"/>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50"/>
      <c r="B564" s="48"/>
      <c r="C564" s="49"/>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50"/>
      <c r="B565" s="48"/>
      <c r="C565" s="49"/>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50"/>
      <c r="B566" s="48"/>
      <c r="C566" s="49"/>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50"/>
      <c r="B567" s="48"/>
      <c r="C567" s="49"/>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50"/>
      <c r="B568" s="48"/>
      <c r="C568" s="49"/>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50"/>
      <c r="B569" s="48"/>
      <c r="C569" s="49"/>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50"/>
      <c r="B570" s="48"/>
      <c r="C570" s="49"/>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50"/>
      <c r="B571" s="48"/>
      <c r="C571" s="49"/>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50"/>
      <c r="B572" s="48"/>
      <c r="C572" s="49"/>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50"/>
      <c r="B573" s="48"/>
      <c r="C573" s="49"/>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50"/>
      <c r="B574" s="48"/>
      <c r="C574" s="49"/>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50"/>
      <c r="B575" s="48"/>
      <c r="C575" s="49"/>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50"/>
      <c r="B576" s="48"/>
      <c r="C576" s="49"/>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50"/>
      <c r="B577" s="48"/>
      <c r="C577" s="49"/>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50"/>
      <c r="B578" s="48"/>
      <c r="C578" s="49"/>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50"/>
      <c r="B579" s="48"/>
      <c r="C579" s="49"/>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50"/>
      <c r="B580" s="48"/>
      <c r="C580" s="49"/>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50"/>
      <c r="B581" s="48"/>
      <c r="C581" s="49"/>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50"/>
      <c r="B582" s="48"/>
      <c r="C582" s="49"/>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50"/>
      <c r="B583" s="48"/>
      <c r="C583" s="49"/>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50"/>
      <c r="B584" s="48"/>
      <c r="C584" s="49"/>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50"/>
      <c r="B585" s="48"/>
      <c r="C585" s="49"/>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50"/>
      <c r="B586" s="48"/>
      <c r="C586" s="49"/>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50"/>
      <c r="B587" s="48"/>
      <c r="C587" s="49"/>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50"/>
      <c r="B588" s="48"/>
      <c r="C588" s="49"/>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50"/>
      <c r="B589" s="48"/>
      <c r="C589" s="49"/>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50"/>
      <c r="B590" s="48"/>
      <c r="C590" s="49"/>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50"/>
      <c r="B591" s="48"/>
      <c r="C591" s="49"/>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50"/>
      <c r="B592" s="48"/>
      <c r="C592" s="49"/>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50"/>
      <c r="B593" s="48"/>
      <c r="C593" s="49"/>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50"/>
      <c r="B594" s="48"/>
      <c r="C594" s="49"/>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50"/>
      <c r="B595" s="48"/>
      <c r="C595" s="49"/>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50"/>
      <c r="B596" s="48"/>
      <c r="C596" s="49"/>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50"/>
      <c r="B597" s="48"/>
      <c r="C597" s="49"/>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50"/>
      <c r="B598" s="48"/>
      <c r="C598" s="49"/>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50"/>
      <c r="B599" s="48"/>
      <c r="C599" s="49"/>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50"/>
      <c r="B600" s="48"/>
      <c r="C600" s="49"/>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50"/>
      <c r="B601" s="48"/>
      <c r="C601" s="49"/>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50"/>
      <c r="B602" s="48"/>
      <c r="C602" s="49"/>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50"/>
      <c r="B603" s="48"/>
      <c r="C603" s="49"/>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50"/>
      <c r="B604" s="48"/>
      <c r="C604" s="49"/>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50"/>
      <c r="B605" s="48"/>
      <c r="C605" s="49"/>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50"/>
      <c r="B606" s="48"/>
      <c r="C606" s="49"/>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50"/>
      <c r="B607" s="48"/>
      <c r="C607" s="49"/>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50"/>
      <c r="B608" s="48"/>
      <c r="C608" s="49"/>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50"/>
      <c r="B609" s="48"/>
      <c r="C609" s="49"/>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50"/>
      <c r="B610" s="48"/>
      <c r="C610" s="49"/>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50"/>
      <c r="B611" s="48"/>
      <c r="C611" s="49"/>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50"/>
      <c r="B612" s="48"/>
      <c r="C612" s="49"/>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50"/>
      <c r="B613" s="48"/>
      <c r="C613" s="49"/>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50"/>
      <c r="B614" s="48"/>
      <c r="C614" s="49"/>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50"/>
      <c r="B615" s="48"/>
      <c r="C615" s="49"/>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50"/>
      <c r="B616" s="48"/>
      <c r="C616" s="49"/>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50"/>
      <c r="B617" s="48"/>
      <c r="C617" s="49"/>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50"/>
      <c r="B618" s="48"/>
      <c r="C618" s="49"/>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50"/>
      <c r="B619" s="48"/>
      <c r="C619" s="49"/>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50"/>
      <c r="B620" s="48"/>
      <c r="C620" s="49"/>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50"/>
      <c r="B621" s="48"/>
      <c r="C621" s="49"/>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50"/>
      <c r="B622" s="48"/>
      <c r="C622" s="49"/>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50"/>
      <c r="B623" s="48"/>
      <c r="C623" s="49"/>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50"/>
      <c r="B624" s="48"/>
      <c r="C624" s="49"/>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50"/>
      <c r="B625" s="48"/>
      <c r="C625" s="49"/>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50"/>
      <c r="B626" s="48"/>
      <c r="C626" s="49"/>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50"/>
      <c r="B627" s="48"/>
      <c r="C627" s="49"/>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50"/>
      <c r="B628" s="48"/>
      <c r="C628" s="49"/>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50"/>
      <c r="B629" s="48"/>
      <c r="C629" s="49"/>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50"/>
      <c r="B630" s="48"/>
      <c r="C630" s="49"/>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50"/>
      <c r="B631" s="48"/>
      <c r="C631" s="49"/>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50"/>
      <c r="B632" s="48"/>
      <c r="C632" s="49"/>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50"/>
      <c r="B633" s="48"/>
      <c r="C633" s="49"/>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50"/>
      <c r="B634" s="48"/>
      <c r="C634" s="49"/>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50"/>
      <c r="B635" s="48"/>
      <c r="C635" s="49"/>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50"/>
      <c r="B636" s="48"/>
      <c r="C636" s="49"/>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50"/>
      <c r="B637" s="48"/>
      <c r="C637" s="49"/>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50"/>
      <c r="B638" s="48"/>
      <c r="C638" s="49"/>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50"/>
      <c r="B639" s="48"/>
      <c r="C639" s="49"/>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50"/>
      <c r="B640" s="48"/>
      <c r="C640" s="49"/>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50"/>
      <c r="B641" s="48"/>
      <c r="C641" s="49"/>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50"/>
      <c r="B642" s="48"/>
      <c r="C642" s="49"/>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50"/>
      <c r="B643" s="48"/>
      <c r="C643" s="49"/>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50"/>
      <c r="B644" s="48"/>
      <c r="C644" s="49"/>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50"/>
      <c r="B645" s="48"/>
      <c r="C645" s="49"/>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50"/>
      <c r="B646" s="48"/>
      <c r="C646" s="49"/>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50"/>
      <c r="B647" s="48"/>
      <c r="C647" s="49"/>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50"/>
      <c r="B648" s="48"/>
      <c r="C648" s="49"/>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50"/>
      <c r="B649" s="48"/>
      <c r="C649" s="49"/>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50"/>
      <c r="B650" s="48"/>
      <c r="C650" s="49"/>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50"/>
      <c r="B651" s="48"/>
      <c r="C651" s="49"/>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50"/>
      <c r="B652" s="48"/>
      <c r="C652" s="49"/>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50"/>
      <c r="B653" s="48"/>
      <c r="C653" s="49"/>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50"/>
      <c r="B654" s="48"/>
      <c r="C654" s="49"/>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50"/>
      <c r="B655" s="48"/>
      <c r="C655" s="49"/>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50"/>
      <c r="B656" s="48"/>
      <c r="C656" s="49"/>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50"/>
      <c r="B657" s="48"/>
      <c r="C657" s="49"/>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50"/>
      <c r="B658" s="48"/>
      <c r="C658" s="49"/>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50"/>
      <c r="B659" s="48"/>
      <c r="C659" s="49"/>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50"/>
      <c r="B660" s="48"/>
      <c r="C660" s="49"/>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50"/>
      <c r="B661" s="48"/>
      <c r="C661" s="49"/>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50"/>
      <c r="B662" s="48"/>
      <c r="C662" s="49"/>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50"/>
      <c r="B663" s="48"/>
      <c r="C663" s="49"/>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50"/>
      <c r="B664" s="48"/>
      <c r="C664" s="49"/>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50"/>
      <c r="B665" s="48"/>
      <c r="C665" s="49"/>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50"/>
      <c r="B666" s="48"/>
      <c r="C666" s="49"/>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50"/>
      <c r="B667" s="48"/>
      <c r="C667" s="49"/>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50"/>
      <c r="B668" s="48"/>
      <c r="C668" s="49"/>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50"/>
      <c r="B669" s="48"/>
      <c r="C669" s="49"/>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50"/>
      <c r="B670" s="48"/>
      <c r="C670" s="49"/>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50"/>
      <c r="B671" s="48"/>
      <c r="C671" s="49"/>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50"/>
      <c r="B672" s="48"/>
      <c r="C672" s="49"/>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50"/>
      <c r="B673" s="48"/>
      <c r="C673" s="49"/>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50"/>
      <c r="B674" s="48"/>
      <c r="C674" s="49"/>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50"/>
      <c r="B675" s="48"/>
      <c r="C675" s="49"/>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50"/>
      <c r="B676" s="48"/>
      <c r="C676" s="49"/>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50"/>
      <c r="B677" s="48"/>
      <c r="C677" s="49"/>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50"/>
      <c r="B678" s="48"/>
      <c r="C678" s="49"/>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50"/>
      <c r="B679" s="48"/>
      <c r="C679" s="49"/>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50"/>
      <c r="B680" s="48"/>
      <c r="C680" s="49"/>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50"/>
      <c r="B681" s="48"/>
      <c r="C681" s="49"/>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50"/>
      <c r="B682" s="48"/>
      <c r="C682" s="49"/>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50"/>
      <c r="B683" s="48"/>
      <c r="C683" s="49"/>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50"/>
      <c r="B684" s="48"/>
      <c r="C684" s="49"/>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50"/>
      <c r="B685" s="48"/>
      <c r="C685" s="49"/>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50"/>
      <c r="B686" s="48"/>
      <c r="C686" s="49"/>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50"/>
      <c r="B687" s="48"/>
      <c r="C687" s="49"/>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50"/>
      <c r="B688" s="48"/>
      <c r="C688" s="49"/>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50"/>
      <c r="B689" s="48"/>
      <c r="C689" s="49"/>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50"/>
      <c r="B690" s="48"/>
      <c r="C690" s="49"/>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50"/>
      <c r="B691" s="48"/>
      <c r="C691" s="49"/>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50"/>
      <c r="B692" s="48"/>
      <c r="C692" s="49"/>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50"/>
      <c r="B693" s="48"/>
      <c r="C693" s="49"/>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50"/>
      <c r="B694" s="48"/>
      <c r="C694" s="49"/>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50"/>
      <c r="B695" s="48"/>
      <c r="C695" s="49"/>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50"/>
      <c r="B696" s="48"/>
      <c r="C696" s="49"/>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50"/>
      <c r="B697" s="48"/>
      <c r="C697" s="49"/>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50"/>
      <c r="B698" s="48"/>
      <c r="C698" s="49"/>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50"/>
      <c r="B699" s="48"/>
      <c r="C699" s="49"/>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50"/>
      <c r="B700" s="48"/>
      <c r="C700" s="49"/>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50"/>
      <c r="B701" s="48"/>
      <c r="C701" s="49"/>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50"/>
      <c r="B702" s="48"/>
      <c r="C702" s="49"/>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50"/>
      <c r="B703" s="48"/>
      <c r="C703" s="49"/>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50"/>
      <c r="B704" s="48"/>
      <c r="C704" s="49"/>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50"/>
      <c r="B705" s="48"/>
      <c r="C705" s="49"/>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50"/>
      <c r="B706" s="48"/>
      <c r="C706" s="49"/>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50"/>
      <c r="B707" s="48"/>
      <c r="C707" s="49"/>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50"/>
      <c r="B708" s="48"/>
      <c r="C708" s="49"/>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50"/>
      <c r="B709" s="48"/>
      <c r="C709" s="49"/>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50"/>
      <c r="B710" s="48"/>
      <c r="C710" s="49"/>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50"/>
      <c r="B711" s="48"/>
      <c r="C711" s="49"/>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50"/>
      <c r="B712" s="48"/>
      <c r="C712" s="49"/>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50"/>
      <c r="B713" s="48"/>
      <c r="C713" s="49"/>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50"/>
      <c r="B714" s="48"/>
      <c r="C714" s="49"/>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50"/>
      <c r="B715" s="48"/>
      <c r="C715" s="49"/>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50"/>
      <c r="B716" s="48"/>
      <c r="C716" s="49"/>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50"/>
      <c r="B717" s="48"/>
      <c r="C717" s="49"/>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50"/>
      <c r="B718" s="48"/>
      <c r="C718" s="49"/>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50"/>
      <c r="B719" s="48"/>
      <c r="C719" s="49"/>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50"/>
      <c r="B720" s="48"/>
      <c r="C720" s="49"/>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50"/>
      <c r="B721" s="48"/>
      <c r="C721" s="49"/>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50"/>
      <c r="B722" s="48"/>
      <c r="C722" s="49"/>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50"/>
      <c r="B723" s="48"/>
      <c r="C723" s="49"/>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50"/>
      <c r="B724" s="48"/>
      <c r="C724" s="49"/>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50"/>
      <c r="B725" s="48"/>
      <c r="C725" s="49"/>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50"/>
      <c r="B726" s="48"/>
      <c r="C726" s="49"/>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50"/>
      <c r="B727" s="48"/>
      <c r="C727" s="49"/>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50"/>
      <c r="B728" s="48"/>
      <c r="C728" s="49"/>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50"/>
      <c r="B729" s="48"/>
      <c r="C729" s="49"/>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50"/>
      <c r="B730" s="48"/>
      <c r="C730" s="49"/>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50"/>
      <c r="B731" s="48"/>
      <c r="C731" s="49"/>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50"/>
      <c r="B732" s="48"/>
      <c r="C732" s="49"/>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50"/>
      <c r="B733" s="48"/>
      <c r="C733" s="49"/>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50"/>
      <c r="B734" s="48"/>
      <c r="C734" s="49"/>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50"/>
      <c r="B735" s="48"/>
      <c r="C735" s="49"/>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50"/>
      <c r="B736" s="48"/>
      <c r="C736" s="49"/>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50"/>
      <c r="B737" s="48"/>
      <c r="C737" s="49"/>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50"/>
      <c r="B738" s="48"/>
      <c r="C738" s="49"/>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50"/>
      <c r="B739" s="48"/>
      <c r="C739" s="49"/>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50"/>
      <c r="B740" s="48"/>
      <c r="C740" s="49"/>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50"/>
      <c r="B741" s="48"/>
      <c r="C741" s="49"/>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50"/>
      <c r="B742" s="48"/>
      <c r="C742" s="49"/>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50"/>
      <c r="B743" s="48"/>
      <c r="C743" s="49"/>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50"/>
      <c r="B744" s="48"/>
      <c r="C744" s="49"/>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50"/>
      <c r="B745" s="48"/>
      <c r="C745" s="49"/>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50"/>
      <c r="B746" s="48"/>
      <c r="C746" s="49"/>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50"/>
      <c r="B747" s="48"/>
      <c r="C747" s="49"/>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50"/>
      <c r="B748" s="48"/>
      <c r="C748" s="49"/>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50"/>
      <c r="B749" s="48"/>
      <c r="C749" s="49"/>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50"/>
      <c r="B750" s="48"/>
      <c r="C750" s="49"/>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50"/>
      <c r="B751" s="48"/>
      <c r="C751" s="49"/>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50"/>
      <c r="B752" s="48"/>
      <c r="C752" s="49"/>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50"/>
      <c r="B753" s="48"/>
      <c r="C753" s="49"/>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50"/>
      <c r="B754" s="48"/>
      <c r="C754" s="49"/>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50"/>
      <c r="B755" s="48"/>
      <c r="C755" s="49"/>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50"/>
      <c r="B756" s="48"/>
      <c r="C756" s="49"/>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50"/>
      <c r="B757" s="48"/>
      <c r="C757" s="49"/>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50"/>
      <c r="B758" s="48"/>
      <c r="C758" s="49"/>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50"/>
      <c r="B759" s="48"/>
      <c r="C759" s="49"/>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50"/>
      <c r="B760" s="48"/>
      <c r="C760" s="49"/>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50"/>
      <c r="B761" s="48"/>
      <c r="C761" s="49"/>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50"/>
      <c r="B762" s="48"/>
      <c r="C762" s="49"/>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50"/>
      <c r="B763" s="48"/>
      <c r="C763" s="49"/>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50"/>
      <c r="B764" s="48"/>
      <c r="C764" s="49"/>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50"/>
      <c r="B765" s="48"/>
      <c r="C765" s="49"/>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50"/>
      <c r="B766" s="48"/>
      <c r="C766" s="49"/>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50"/>
      <c r="B767" s="48"/>
      <c r="C767" s="49"/>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50"/>
      <c r="B768" s="48"/>
      <c r="C768" s="49"/>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50"/>
      <c r="B769" s="48"/>
      <c r="C769" s="49"/>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50"/>
      <c r="B770" s="48"/>
      <c r="C770" s="49"/>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50"/>
      <c r="B771" s="48"/>
      <c r="C771" s="49"/>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50"/>
      <c r="B772" s="48"/>
      <c r="C772" s="49"/>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50"/>
      <c r="B773" s="48"/>
      <c r="C773" s="49"/>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50"/>
      <c r="B774" s="48"/>
      <c r="C774" s="49"/>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50"/>
      <c r="B775" s="48"/>
      <c r="C775" s="49"/>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50"/>
      <c r="B776" s="48"/>
      <c r="C776" s="49"/>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50"/>
      <c r="B777" s="48"/>
      <c r="C777" s="49"/>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50"/>
      <c r="B778" s="48"/>
      <c r="C778" s="49"/>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50"/>
      <c r="B779" s="48"/>
      <c r="C779" s="49"/>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50"/>
      <c r="B780" s="48"/>
      <c r="C780" s="49"/>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50"/>
      <c r="B781" s="48"/>
      <c r="C781" s="49"/>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50"/>
      <c r="B782" s="48"/>
      <c r="C782" s="49"/>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50"/>
      <c r="B783" s="48"/>
      <c r="C783" s="49"/>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50"/>
      <c r="B784" s="48"/>
      <c r="C784" s="49"/>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50"/>
      <c r="B785" s="48"/>
      <c r="C785" s="49"/>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50"/>
      <c r="B786" s="48"/>
      <c r="C786" s="49"/>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50"/>
      <c r="B787" s="48"/>
      <c r="C787" s="49"/>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50"/>
      <c r="B788" s="48"/>
      <c r="C788" s="49"/>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50"/>
      <c r="B789" s="48"/>
      <c r="C789" s="49"/>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50"/>
      <c r="B790" s="48"/>
      <c r="C790" s="49"/>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50"/>
      <c r="B791" s="48"/>
      <c r="C791" s="49"/>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50"/>
      <c r="B792" s="48"/>
      <c r="C792" s="49"/>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50"/>
      <c r="B793" s="48"/>
      <c r="C793" s="49"/>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50"/>
      <c r="B794" s="48"/>
      <c r="C794" s="49"/>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50"/>
      <c r="B795" s="48"/>
      <c r="C795" s="49"/>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50"/>
      <c r="B796" s="48"/>
      <c r="C796" s="49"/>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50"/>
      <c r="B797" s="48"/>
      <c r="C797" s="49"/>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50"/>
      <c r="B798" s="48"/>
      <c r="C798" s="49"/>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50"/>
      <c r="B799" s="48"/>
      <c r="C799" s="49"/>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50"/>
      <c r="B800" s="48"/>
      <c r="C800" s="49"/>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50"/>
      <c r="B801" s="48"/>
      <c r="C801" s="49"/>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50"/>
      <c r="B802" s="48"/>
      <c r="C802" s="49"/>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50"/>
      <c r="B803" s="48"/>
      <c r="C803" s="49"/>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50"/>
      <c r="B804" s="48"/>
      <c r="C804" s="49"/>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50"/>
      <c r="B805" s="48"/>
      <c r="C805" s="49"/>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50"/>
      <c r="B806" s="48"/>
      <c r="C806" s="49"/>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50"/>
      <c r="B807" s="48"/>
      <c r="C807" s="49"/>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50"/>
      <c r="B808" s="48"/>
      <c r="C808" s="49"/>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50"/>
      <c r="B809" s="48"/>
      <c r="C809" s="49"/>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50"/>
      <c r="B810" s="48"/>
      <c r="C810" s="49"/>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50"/>
      <c r="B811" s="48"/>
      <c r="C811" s="49"/>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50"/>
      <c r="B812" s="48"/>
      <c r="C812" s="49"/>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50"/>
      <c r="B813" s="48"/>
      <c r="C813" s="49"/>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50"/>
      <c r="B814" s="48"/>
      <c r="C814" s="49"/>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50"/>
      <c r="B815" s="48"/>
      <c r="C815" s="49"/>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50"/>
      <c r="B816" s="48"/>
      <c r="C816" s="49"/>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50"/>
      <c r="B817" s="48"/>
      <c r="C817" s="49"/>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50"/>
      <c r="B818" s="48"/>
      <c r="C818" s="49"/>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50"/>
      <c r="B819" s="48"/>
      <c r="C819" s="49"/>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50"/>
      <c r="B820" s="48"/>
      <c r="C820" s="49"/>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50"/>
      <c r="B821" s="48"/>
      <c r="C821" s="49"/>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50"/>
      <c r="B822" s="48"/>
      <c r="C822" s="49"/>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50"/>
      <c r="B823" s="48"/>
      <c r="C823" s="49"/>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50"/>
      <c r="B824" s="48"/>
      <c r="C824" s="49"/>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50"/>
      <c r="B825" s="48"/>
      <c r="C825" s="49"/>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50"/>
      <c r="B826" s="48"/>
      <c r="C826" s="49"/>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50"/>
      <c r="B827" s="48"/>
      <c r="C827" s="49"/>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50"/>
      <c r="B828" s="48"/>
      <c r="C828" s="49"/>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50"/>
      <c r="B829" s="48"/>
      <c r="C829" s="49"/>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50"/>
      <c r="B830" s="48"/>
      <c r="C830" s="49"/>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50"/>
      <c r="B831" s="48"/>
      <c r="C831" s="49"/>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50"/>
      <c r="B832" s="48"/>
      <c r="C832" s="49"/>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50"/>
      <c r="B833" s="48"/>
      <c r="C833" s="49"/>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50"/>
      <c r="B834" s="48"/>
      <c r="C834" s="49"/>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50"/>
      <c r="B835" s="48"/>
      <c r="C835" s="49"/>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50"/>
      <c r="B836" s="48"/>
      <c r="C836" s="49"/>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50"/>
      <c r="B837" s="48"/>
      <c r="C837" s="49"/>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50"/>
      <c r="B838" s="48"/>
      <c r="C838" s="49"/>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50"/>
      <c r="B839" s="48"/>
      <c r="C839" s="49"/>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50"/>
      <c r="B840" s="48"/>
      <c r="C840" s="49"/>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50"/>
      <c r="B841" s="48"/>
      <c r="C841" s="49"/>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50"/>
      <c r="B842" s="48"/>
      <c r="C842" s="49"/>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50"/>
      <c r="B843" s="48"/>
      <c r="C843" s="49"/>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50"/>
      <c r="B844" s="48"/>
      <c r="C844" s="49"/>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50"/>
      <c r="B845" s="48"/>
      <c r="C845" s="49"/>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50"/>
      <c r="B846" s="48"/>
      <c r="C846" s="49"/>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50"/>
      <c r="B847" s="48"/>
      <c r="C847" s="49"/>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50"/>
      <c r="B848" s="48"/>
      <c r="C848" s="49"/>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50"/>
      <c r="B849" s="48"/>
      <c r="C849" s="49"/>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50"/>
      <c r="B850" s="48"/>
      <c r="C850" s="49"/>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50"/>
      <c r="B851" s="48"/>
      <c r="C851" s="49"/>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50"/>
      <c r="B852" s="48"/>
      <c r="C852" s="49"/>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50"/>
      <c r="B853" s="48"/>
      <c r="C853" s="49"/>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50"/>
      <c r="B854" s="48"/>
      <c r="C854" s="49"/>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50"/>
      <c r="B855" s="48"/>
      <c r="C855" s="49"/>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50"/>
      <c r="B856" s="48"/>
      <c r="C856" s="49"/>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50"/>
      <c r="B857" s="48"/>
      <c r="C857" s="49"/>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50"/>
      <c r="B858" s="48"/>
      <c r="C858" s="49"/>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50"/>
      <c r="B859" s="48"/>
      <c r="C859" s="49"/>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50"/>
      <c r="B860" s="48"/>
      <c r="C860" s="49"/>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50"/>
      <c r="B861" s="48"/>
      <c r="C861" s="49"/>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50"/>
      <c r="B862" s="48"/>
      <c r="C862" s="49"/>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50"/>
      <c r="B863" s="48"/>
      <c r="C863" s="49"/>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50"/>
      <c r="B864" s="48"/>
      <c r="C864" s="49"/>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50"/>
      <c r="B865" s="48"/>
      <c r="C865" s="49"/>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50"/>
      <c r="B866" s="48"/>
      <c r="C866" s="49"/>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50"/>
      <c r="B867" s="48"/>
      <c r="C867" s="49"/>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50"/>
      <c r="B868" s="48"/>
      <c r="C868" s="49"/>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50"/>
      <c r="B869" s="48"/>
      <c r="C869" s="49"/>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50"/>
      <c r="B870" s="48"/>
      <c r="C870" s="49"/>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50"/>
      <c r="B871" s="48"/>
      <c r="C871" s="49"/>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50"/>
      <c r="B872" s="48"/>
      <c r="C872" s="49"/>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50"/>
      <c r="B873" s="48"/>
      <c r="C873" s="49"/>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50"/>
      <c r="B874" s="48"/>
      <c r="C874" s="49"/>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50"/>
      <c r="B875" s="48"/>
      <c r="C875" s="49"/>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50"/>
      <c r="B876" s="48"/>
      <c r="C876" s="49"/>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50"/>
      <c r="B877" s="48"/>
      <c r="C877" s="49"/>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50"/>
      <c r="B878" s="48"/>
      <c r="C878" s="49"/>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50"/>
      <c r="B879" s="48"/>
      <c r="C879" s="49"/>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50"/>
      <c r="B880" s="48"/>
      <c r="C880" s="49"/>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50"/>
      <c r="B881" s="48"/>
      <c r="C881" s="49"/>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50"/>
      <c r="B882" s="48"/>
      <c r="C882" s="49"/>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50"/>
      <c r="B883" s="48"/>
      <c r="C883" s="49"/>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50"/>
      <c r="B884" s="48"/>
      <c r="C884" s="49"/>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50"/>
      <c r="B885" s="48"/>
      <c r="C885" s="49"/>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50"/>
      <c r="B886" s="48"/>
      <c r="C886" s="49"/>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50"/>
      <c r="B887" s="48"/>
      <c r="C887" s="49"/>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50"/>
      <c r="B888" s="48"/>
      <c r="C888" s="49"/>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50"/>
      <c r="B889" s="48"/>
      <c r="C889" s="49"/>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50"/>
      <c r="B890" s="48"/>
      <c r="C890" s="49"/>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50"/>
      <c r="B891" s="48"/>
      <c r="C891" s="49"/>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50"/>
      <c r="B892" s="48"/>
      <c r="C892" s="49"/>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50"/>
      <c r="B893" s="48"/>
      <c r="C893" s="49"/>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50"/>
      <c r="B894" s="48"/>
      <c r="C894" s="49"/>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50"/>
      <c r="B895" s="48"/>
      <c r="C895" s="49"/>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50"/>
      <c r="B896" s="48"/>
      <c r="C896" s="49"/>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50"/>
      <c r="B897" s="48"/>
      <c r="C897" s="49"/>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50"/>
      <c r="B898" s="48"/>
      <c r="C898" s="49"/>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50"/>
      <c r="B899" s="48"/>
      <c r="C899" s="49"/>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50"/>
      <c r="B900" s="48"/>
      <c r="C900" s="49"/>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50"/>
      <c r="B901" s="48"/>
      <c r="C901" s="49"/>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50"/>
      <c r="B902" s="48"/>
      <c r="C902" s="49"/>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50"/>
      <c r="B903" s="48"/>
      <c r="C903" s="49"/>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50"/>
      <c r="B904" s="48"/>
      <c r="C904" s="49"/>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50"/>
      <c r="B905" s="48"/>
      <c r="C905" s="49"/>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50"/>
      <c r="B906" s="48"/>
      <c r="C906" s="49"/>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50"/>
      <c r="B907" s="48"/>
      <c r="C907" s="49"/>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50"/>
      <c r="B908" s="48"/>
      <c r="C908" s="49"/>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50"/>
      <c r="B909" s="48"/>
      <c r="C909" s="49"/>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50"/>
      <c r="B910" s="48"/>
      <c r="C910" s="49"/>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50"/>
      <c r="B911" s="48"/>
      <c r="C911" s="49"/>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50"/>
      <c r="B912" s="48"/>
      <c r="C912" s="49"/>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50"/>
      <c r="B913" s="48"/>
      <c r="C913" s="49"/>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50"/>
      <c r="B914" s="48"/>
      <c r="C914" s="49"/>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50"/>
      <c r="B915" s="48"/>
      <c r="C915" s="49"/>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50"/>
      <c r="B916" s="48"/>
      <c r="C916" s="49"/>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50"/>
      <c r="B917" s="48"/>
      <c r="C917" s="49"/>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50"/>
      <c r="B918" s="48"/>
      <c r="C918" s="49"/>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50"/>
      <c r="B919" s="48"/>
      <c r="C919" s="49"/>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50"/>
      <c r="B920" s="48"/>
      <c r="C920" s="49"/>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50"/>
      <c r="B921" s="48"/>
      <c r="C921" s="49"/>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50"/>
      <c r="B922" s="48"/>
      <c r="C922" s="49"/>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50"/>
      <c r="B923" s="48"/>
      <c r="C923" s="49"/>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50"/>
      <c r="B924" s="48"/>
      <c r="C924" s="49"/>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50"/>
      <c r="B925" s="48"/>
      <c r="C925" s="49"/>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50"/>
      <c r="B926" s="48"/>
      <c r="C926" s="49"/>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50"/>
      <c r="B927" s="48"/>
      <c r="C927" s="49"/>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50"/>
      <c r="B928" s="48"/>
      <c r="C928" s="49"/>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50"/>
      <c r="B929" s="48"/>
      <c r="C929" s="49"/>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50"/>
      <c r="B930" s="48"/>
      <c r="C930" s="49"/>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50"/>
      <c r="B931" s="48"/>
      <c r="C931" s="49"/>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50"/>
      <c r="B932" s="48"/>
      <c r="C932" s="49"/>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50"/>
      <c r="B933" s="48"/>
      <c r="C933" s="49"/>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50"/>
      <c r="B934" s="48"/>
      <c r="C934" s="49"/>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50"/>
      <c r="B935" s="48"/>
      <c r="C935" s="49"/>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50"/>
      <c r="B936" s="48"/>
      <c r="C936" s="49"/>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50"/>
      <c r="B937" s="48"/>
      <c r="C937" s="49"/>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50"/>
      <c r="B938" s="48"/>
      <c r="C938" s="49"/>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50"/>
      <c r="B939" s="48"/>
      <c r="C939" s="49"/>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50"/>
      <c r="B940" s="48"/>
      <c r="C940" s="49"/>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50"/>
      <c r="B941" s="48"/>
      <c r="C941" s="49"/>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50"/>
      <c r="B942" s="48"/>
      <c r="C942" s="49"/>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50"/>
      <c r="B943" s="48"/>
      <c r="C943" s="49"/>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50"/>
      <c r="B944" s="48"/>
      <c r="C944" s="49"/>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50"/>
      <c r="B945" s="48"/>
      <c r="C945" s="49"/>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50"/>
      <c r="B946" s="48"/>
      <c r="C946" s="49"/>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50"/>
      <c r="B947" s="48"/>
      <c r="C947" s="49"/>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50"/>
      <c r="B948" s="48"/>
      <c r="C948" s="49"/>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50"/>
      <c r="B949" s="48"/>
      <c r="C949" s="49"/>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50"/>
      <c r="B950" s="48"/>
      <c r="C950" s="49"/>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50"/>
      <c r="B951" s="48"/>
      <c r="C951" s="49"/>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50"/>
      <c r="B952" s="48"/>
      <c r="C952" s="49"/>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50"/>
      <c r="B953" s="48"/>
      <c r="C953" s="49"/>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50"/>
      <c r="B954" s="48"/>
      <c r="C954" s="49"/>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50"/>
      <c r="B955" s="48"/>
      <c r="C955" s="49"/>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50"/>
      <c r="B956" s="48"/>
      <c r="C956" s="49"/>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50"/>
      <c r="B957" s="48"/>
      <c r="C957" s="49"/>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50"/>
      <c r="B958" s="48"/>
      <c r="C958" s="49"/>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50"/>
      <c r="B959" s="48"/>
      <c r="C959" s="49"/>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50"/>
      <c r="B960" s="48"/>
      <c r="C960" s="49"/>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50"/>
      <c r="B961" s="48"/>
      <c r="C961" s="49"/>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50"/>
      <c r="B962" s="48"/>
      <c r="C962" s="49"/>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50"/>
      <c r="B963" s="48"/>
      <c r="C963" s="49"/>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50"/>
      <c r="B964" s="48"/>
      <c r="C964" s="49"/>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50"/>
      <c r="B965" s="48"/>
      <c r="C965" s="49"/>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50"/>
      <c r="B966" s="48"/>
      <c r="C966" s="49"/>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50"/>
      <c r="B967" s="48"/>
      <c r="C967" s="49"/>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50"/>
      <c r="B968" s="48"/>
      <c r="C968" s="49"/>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50"/>
      <c r="B969" s="48"/>
      <c r="C969" s="49"/>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50"/>
      <c r="B970" s="48"/>
      <c r="C970" s="49"/>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50"/>
      <c r="B971" s="48"/>
      <c r="C971" s="49"/>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50"/>
      <c r="B972" s="48"/>
      <c r="C972" s="49"/>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50"/>
      <c r="B973" s="48"/>
      <c r="C973" s="49"/>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50"/>
      <c r="B974" s="48"/>
      <c r="C974" s="49"/>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50"/>
      <c r="B975" s="48"/>
      <c r="C975" s="49"/>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50"/>
      <c r="B976" s="48"/>
      <c r="C976" s="49"/>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50"/>
      <c r="B977" s="48"/>
      <c r="C977" s="49"/>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50"/>
      <c r="B978" s="48"/>
      <c r="C978" s="49"/>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50"/>
      <c r="B979" s="48"/>
      <c r="C979" s="49"/>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50"/>
      <c r="B980" s="48"/>
      <c r="C980" s="49"/>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50"/>
      <c r="B981" s="48"/>
      <c r="C981" s="49"/>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50"/>
      <c r="B982" s="48"/>
      <c r="C982" s="49"/>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50"/>
      <c r="B983" s="48"/>
      <c r="C983" s="49"/>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50"/>
      <c r="B984" s="48"/>
      <c r="C984" s="49"/>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50"/>
      <c r="B985" s="48"/>
      <c r="C985" s="49"/>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50"/>
      <c r="B986" s="48"/>
      <c r="C986" s="49"/>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50"/>
      <c r="B987" s="48"/>
      <c r="C987" s="49"/>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50"/>
      <c r="B988" s="48"/>
      <c r="C988" s="49"/>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50"/>
      <c r="B989" s="48"/>
      <c r="C989" s="49"/>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50"/>
      <c r="B990" s="48"/>
      <c r="C990" s="49"/>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50"/>
      <c r="B991" s="48"/>
      <c r="C991" s="49"/>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50"/>
      <c r="B992" s="48"/>
      <c r="C992" s="49"/>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50"/>
      <c r="B993" s="48"/>
      <c r="C993" s="49"/>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50"/>
      <c r="B994" s="48"/>
      <c r="C994" s="49"/>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50"/>
      <c r="B995" s="48"/>
      <c r="C995" s="49"/>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50"/>
      <c r="B996" s="48"/>
      <c r="C996" s="49"/>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50"/>
      <c r="B997" s="48"/>
      <c r="C997" s="49"/>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50"/>
      <c r="B998" s="48"/>
      <c r="C998" s="49"/>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50"/>
      <c r="B999" s="48"/>
      <c r="C999" s="49"/>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50"/>
      <c r="B1000" s="48"/>
      <c r="C1000" s="49"/>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2" t="s">
        <v>29</v>
      </c>
      <c r="C1" s="13" t="s">
        <v>30</v>
      </c>
      <c r="D1" s="13" t="s">
        <v>31</v>
      </c>
      <c r="E1" s="1" t="s">
        <v>7</v>
      </c>
      <c r="F1" s="1" t="s">
        <v>35</v>
      </c>
    </row>
    <row r="2">
      <c r="A2" s="8" t="s">
        <v>36</v>
      </c>
      <c r="B2" s="17">
        <v>16.0</v>
      </c>
      <c r="C2" s="20">
        <v>16.0</v>
      </c>
      <c r="D2" s="25">
        <f t="shared" ref="D2:D45" si="1">B2-C2</f>
        <v>0</v>
      </c>
      <c r="E2" s="8"/>
      <c r="F2" s="8" t="s">
        <v>69</v>
      </c>
    </row>
    <row r="3">
      <c r="A3" s="8" t="s">
        <v>70</v>
      </c>
      <c r="B3" s="17">
        <v>5.0</v>
      </c>
      <c r="C3" s="28">
        <f>IFERROR(__xludf.DUMMYFUNCTION("IF(F3="""", 0, COUNTA(SPLIT(F3, "","")))"),5.0)</f>
        <v>5</v>
      </c>
      <c r="D3" s="25">
        <f t="shared" si="1"/>
        <v>0</v>
      </c>
      <c r="E3" s="8"/>
      <c r="F3" s="8" t="s">
        <v>77</v>
      </c>
    </row>
    <row r="4">
      <c r="A4" s="8" t="s">
        <v>73</v>
      </c>
      <c r="B4" s="17">
        <v>4.0</v>
      </c>
      <c r="C4" s="28">
        <f>IFERROR(__xludf.DUMMYFUNCTION("IF(F4="""", 0, COUNTA(SPLIT(F4, "","")))"),4.0)</f>
        <v>4</v>
      </c>
      <c r="D4" s="25">
        <f t="shared" si="1"/>
        <v>0</v>
      </c>
      <c r="E4" s="8"/>
      <c r="F4" s="8" t="s">
        <v>84</v>
      </c>
    </row>
    <row r="5">
      <c r="A5" s="8" t="s">
        <v>80</v>
      </c>
      <c r="B5" s="17">
        <v>8.0</v>
      </c>
      <c r="C5" s="28">
        <f>IFERROR(__xludf.DUMMYFUNCTION("IF(F5="""", 0, COUNTA(SPLIT(F5, "","")))"),8.0)</f>
        <v>8</v>
      </c>
      <c r="D5" s="25">
        <f t="shared" si="1"/>
        <v>0</v>
      </c>
      <c r="E5" s="8"/>
      <c r="F5" s="8" t="s">
        <v>88</v>
      </c>
    </row>
    <row r="6">
      <c r="A6" s="8" t="s">
        <v>55</v>
      </c>
      <c r="B6" s="17">
        <v>12.0</v>
      </c>
      <c r="C6" s="28">
        <f>IFERROR(__xludf.DUMMYFUNCTION("IF(F6="""", 0, COUNTA(SPLIT(F6, "","")))"),12.0)</f>
        <v>12</v>
      </c>
      <c r="D6" s="25">
        <f t="shared" si="1"/>
        <v>0</v>
      </c>
      <c r="E6" s="8"/>
      <c r="F6" s="8" t="s">
        <v>104</v>
      </c>
    </row>
    <row r="7">
      <c r="A7" s="8" t="s">
        <v>105</v>
      </c>
      <c r="B7" s="17">
        <v>8.0</v>
      </c>
      <c r="C7" s="28">
        <f>IFERROR(__xludf.DUMMYFUNCTION("IF(F7="""", 0, COUNTA(SPLIT(F7, "","")))"),8.0)</f>
        <v>8</v>
      </c>
      <c r="D7" s="25">
        <f t="shared" si="1"/>
        <v>0</v>
      </c>
      <c r="E7" s="8"/>
      <c r="F7" s="8" t="s">
        <v>112</v>
      </c>
    </row>
    <row r="8">
      <c r="A8" s="8" t="s">
        <v>110</v>
      </c>
      <c r="B8" s="17">
        <v>6.0</v>
      </c>
      <c r="C8" s="28">
        <f>IFERROR(__xludf.DUMMYFUNCTION("IF(F8="""", 0, COUNTA(SPLIT(F8, "","")))"),6.0)</f>
        <v>6</v>
      </c>
      <c r="D8" s="25">
        <f t="shared" si="1"/>
        <v>0</v>
      </c>
      <c r="E8" s="8"/>
      <c r="F8" s="8" t="s">
        <v>114</v>
      </c>
    </row>
    <row r="9">
      <c r="A9" s="8" t="s">
        <v>56</v>
      </c>
      <c r="B9" s="31">
        <v>8.0</v>
      </c>
      <c r="C9" s="28">
        <f>IFERROR(__xludf.DUMMYFUNCTION("IF(F9="""", 0, COUNTA(SPLIT(F9, "","")))"),8.0)</f>
        <v>8</v>
      </c>
      <c r="D9" s="25">
        <f t="shared" si="1"/>
        <v>0</v>
      </c>
      <c r="E9" s="8"/>
      <c r="F9" s="8" t="s">
        <v>124</v>
      </c>
    </row>
    <row r="10">
      <c r="A10" s="8" t="s">
        <v>126</v>
      </c>
      <c r="B10" s="17">
        <v>8.0</v>
      </c>
      <c r="C10" s="28">
        <f>IFERROR(__xludf.DUMMYFUNCTION("IF(F10="""", 0, COUNTA(SPLIT(F10, "","")))"),8.0)</f>
        <v>8</v>
      </c>
      <c r="D10" s="25">
        <f t="shared" si="1"/>
        <v>0</v>
      </c>
      <c r="E10" s="8"/>
      <c r="F10" s="8" t="s">
        <v>131</v>
      </c>
    </row>
    <row r="11">
      <c r="A11" s="8" t="s">
        <v>58</v>
      </c>
      <c r="B11" s="17">
        <v>8.0</v>
      </c>
      <c r="C11" s="28">
        <f>IFERROR(__xludf.DUMMYFUNCTION("IF(F11="""", 0, COUNTA(SPLIT(F11, "","")))"),7.0)</f>
        <v>7</v>
      </c>
      <c r="D11" s="25">
        <f t="shared" si="1"/>
        <v>1</v>
      </c>
      <c r="E11" s="8"/>
      <c r="F11" s="8" t="s">
        <v>142</v>
      </c>
    </row>
    <row r="12">
      <c r="A12" s="8" t="s">
        <v>145</v>
      </c>
      <c r="B12" s="17">
        <v>8.0</v>
      </c>
      <c r="C12" s="28">
        <f>IFERROR(__xludf.DUMMYFUNCTION("IF(F12="""", 0, COUNTA(SPLIT(F12, "","")))"),8.0)</f>
        <v>8</v>
      </c>
      <c r="D12" s="25">
        <f t="shared" si="1"/>
        <v>0</v>
      </c>
      <c r="E12" s="8"/>
      <c r="F12" s="8" t="s">
        <v>153</v>
      </c>
    </row>
    <row r="13">
      <c r="A13" s="8" t="s">
        <v>59</v>
      </c>
      <c r="B13" s="34">
        <v>12.0</v>
      </c>
      <c r="C13" s="28">
        <f>IFERROR(__xludf.DUMMYFUNCTION("IF(F13="""", 0, COUNTA(SPLIT(F13, "","")))"),12.0)</f>
        <v>12</v>
      </c>
      <c r="D13" s="25">
        <f t="shared" si="1"/>
        <v>0</v>
      </c>
      <c r="E13" s="8"/>
      <c r="F13" s="8" t="s">
        <v>159</v>
      </c>
    </row>
    <row r="14">
      <c r="A14" s="8" t="s">
        <v>109</v>
      </c>
      <c r="B14" s="17">
        <v>8.0</v>
      </c>
      <c r="C14" s="20">
        <v>8.0</v>
      </c>
      <c r="D14" s="25">
        <f t="shared" si="1"/>
        <v>0</v>
      </c>
      <c r="E14" s="8"/>
      <c r="F14" s="8" t="s">
        <v>165</v>
      </c>
    </row>
    <row r="15">
      <c r="A15" s="8" t="s">
        <v>166</v>
      </c>
      <c r="B15" s="17">
        <v>5.0</v>
      </c>
      <c r="C15" s="28">
        <f>IFERROR(__xludf.DUMMYFUNCTION("IF(F15="""", 0, COUNTA(SPLIT(F15, "","")))"),5.0)</f>
        <v>5</v>
      </c>
      <c r="D15" s="25">
        <f t="shared" si="1"/>
        <v>0</v>
      </c>
      <c r="E15" s="8"/>
      <c r="F15" s="8" t="s">
        <v>168</v>
      </c>
    </row>
    <row r="16">
      <c r="A16" s="8" t="s">
        <v>148</v>
      </c>
      <c r="B16" s="31">
        <v>8.0</v>
      </c>
      <c r="C16" s="28">
        <f>IFERROR(__xludf.DUMMYFUNCTION("IF(F16="""", 0, COUNTA(SPLIT(F16, "","")))"),8.0)</f>
        <v>8</v>
      </c>
      <c r="D16" s="25">
        <f t="shared" si="1"/>
        <v>0</v>
      </c>
      <c r="E16" s="8"/>
      <c r="F16" s="8" t="s">
        <v>175</v>
      </c>
    </row>
    <row r="17">
      <c r="A17" s="8" t="s">
        <v>169</v>
      </c>
      <c r="B17" s="17">
        <v>8.0</v>
      </c>
      <c r="C17" s="28">
        <f>IFERROR(__xludf.DUMMYFUNCTION("IF(F17="""", 0, COUNTA(SPLIT(F17, "","")))"),7.0)</f>
        <v>7</v>
      </c>
      <c r="D17" s="25">
        <f t="shared" si="1"/>
        <v>1</v>
      </c>
      <c r="E17" s="8"/>
      <c r="F17" s="8" t="s">
        <v>189</v>
      </c>
    </row>
    <row r="18">
      <c r="A18" s="8" t="s">
        <v>191</v>
      </c>
      <c r="B18" s="17">
        <v>8.0</v>
      </c>
      <c r="C18" s="20">
        <v>9.0</v>
      </c>
      <c r="D18" s="25">
        <f t="shared" si="1"/>
        <v>-1</v>
      </c>
      <c r="E18" s="8"/>
      <c r="F18" s="8" t="s">
        <v>192</v>
      </c>
    </row>
    <row r="19">
      <c r="A19" s="8" t="s">
        <v>66</v>
      </c>
      <c r="B19" s="31">
        <v>8.0</v>
      </c>
      <c r="C19" s="28">
        <f>IFERROR(__xludf.DUMMYFUNCTION("IF(F19="""", 0, COUNTA(SPLIT(F19, "","")))"),8.0)</f>
        <v>8</v>
      </c>
      <c r="D19" s="25">
        <f t="shared" si="1"/>
        <v>0</v>
      </c>
      <c r="E19" s="8"/>
      <c r="F19" s="8" t="s">
        <v>196</v>
      </c>
    </row>
    <row r="20">
      <c r="A20" s="8" t="s">
        <v>197</v>
      </c>
      <c r="B20" s="17">
        <v>6.0</v>
      </c>
      <c r="C20" s="28">
        <f>IFERROR(__xludf.DUMMYFUNCTION("IF(F20="""", 0, COUNTA(SPLIT(F20, "","")))"),6.0)</f>
        <v>6</v>
      </c>
      <c r="D20" s="25">
        <f t="shared" si="1"/>
        <v>0</v>
      </c>
      <c r="E20" s="8"/>
      <c r="F20" s="8" t="s">
        <v>206</v>
      </c>
    </row>
    <row r="21">
      <c r="A21" s="8" t="s">
        <v>207</v>
      </c>
      <c r="B21" s="17">
        <v>6.0</v>
      </c>
      <c r="C21" s="28">
        <f>IFERROR(__xludf.DUMMYFUNCTION("IF(F21="""", 0, COUNTA(SPLIT(F21, "","")))"),5.0)</f>
        <v>5</v>
      </c>
      <c r="D21" s="25">
        <f t="shared" si="1"/>
        <v>1</v>
      </c>
      <c r="E21" s="8"/>
      <c r="F21" s="8" t="s">
        <v>211</v>
      </c>
    </row>
    <row r="22">
      <c r="A22" s="8" t="s">
        <v>83</v>
      </c>
      <c r="B22" s="17">
        <v>16.0</v>
      </c>
      <c r="C22" s="28">
        <f>IFERROR(__xludf.DUMMYFUNCTION("IF(F22="""", 0, COUNTA(SPLIT(F22, "","")))"),16.0)</f>
        <v>16</v>
      </c>
      <c r="D22" s="25">
        <f t="shared" si="1"/>
        <v>0</v>
      </c>
      <c r="E22" s="8"/>
      <c r="F22" s="8" t="s">
        <v>218</v>
      </c>
    </row>
    <row r="23">
      <c r="A23" s="8" t="s">
        <v>219</v>
      </c>
      <c r="B23" s="31">
        <v>0.0</v>
      </c>
      <c r="C23" s="28">
        <f>IFERROR(__xludf.DUMMYFUNCTION("IF(F23="""", 0, COUNTA(SPLIT(F23, "","")))"),0.0)</f>
        <v>0</v>
      </c>
      <c r="D23" s="25">
        <f t="shared" si="1"/>
        <v>0</v>
      </c>
      <c r="E23" s="35"/>
      <c r="F23" s="35"/>
    </row>
    <row r="24">
      <c r="A24" s="8" t="s">
        <v>53</v>
      </c>
      <c r="B24" s="17">
        <v>4.0</v>
      </c>
      <c r="C24" s="28">
        <f>IFERROR(__xludf.DUMMYFUNCTION("IF(F24="""", 0, COUNTA(SPLIT(F24, "","")))"),4.0)</f>
        <v>4</v>
      </c>
      <c r="D24" s="25">
        <f t="shared" si="1"/>
        <v>0</v>
      </c>
      <c r="E24" s="8"/>
      <c r="F24" s="8" t="s">
        <v>224</v>
      </c>
    </row>
    <row r="25">
      <c r="A25" s="8" t="s">
        <v>225</v>
      </c>
      <c r="B25" s="17">
        <v>0.0</v>
      </c>
      <c r="C25" s="28">
        <f>IFERROR(__xludf.DUMMYFUNCTION("IF(F25="""", 0, COUNTA(SPLIT(F25, "","")))"),0.0)</f>
        <v>0</v>
      </c>
      <c r="D25" s="25">
        <f t="shared" si="1"/>
        <v>0</v>
      </c>
      <c r="E25" s="35"/>
      <c r="F25" s="35"/>
    </row>
    <row r="26">
      <c r="A26" s="8" t="s">
        <v>82</v>
      </c>
      <c r="B26" s="17">
        <v>4.0</v>
      </c>
      <c r="C26" s="28">
        <f>IFERROR(__xludf.DUMMYFUNCTION("IF(F26="""", 0, COUNTA(SPLIT(F26, "","")))"),5.0)</f>
        <v>5</v>
      </c>
      <c r="D26" s="25">
        <f t="shared" si="1"/>
        <v>-1</v>
      </c>
      <c r="E26" s="8"/>
      <c r="F26" s="8" t="s">
        <v>234</v>
      </c>
    </row>
    <row r="27">
      <c r="A27" s="8" t="s">
        <v>235</v>
      </c>
      <c r="B27" s="17">
        <v>8.0</v>
      </c>
      <c r="C27" s="28">
        <f>IFERROR(__xludf.DUMMYFUNCTION("IF(F27="""", 0, COUNTA(SPLIT(F27, "","")))"),8.0)</f>
        <v>8</v>
      </c>
      <c r="D27" s="25">
        <f t="shared" si="1"/>
        <v>0</v>
      </c>
      <c r="E27" s="8"/>
      <c r="F27" s="8" t="s">
        <v>240</v>
      </c>
    </row>
    <row r="28">
      <c r="A28" s="8" t="s">
        <v>34</v>
      </c>
      <c r="B28" s="17">
        <v>10.0</v>
      </c>
      <c r="C28" s="28">
        <f>IFERROR(__xludf.DUMMYFUNCTION("IF(F28="""", 0, COUNTA(SPLIT(F28, "","")))"),10.0)</f>
        <v>10</v>
      </c>
      <c r="D28" s="25">
        <f t="shared" si="1"/>
        <v>0</v>
      </c>
      <c r="E28" s="8"/>
      <c r="F28" s="8" t="s">
        <v>260</v>
      </c>
    </row>
    <row r="29">
      <c r="A29" s="8" t="s">
        <v>54</v>
      </c>
      <c r="B29" s="31">
        <v>12.0</v>
      </c>
      <c r="C29" s="28">
        <f>IFERROR(__xludf.DUMMYFUNCTION("IF(F29="""", 0, COUNTA(SPLIT(F29, "","")))"),12.0)</f>
        <v>12</v>
      </c>
      <c r="D29" s="25">
        <f t="shared" si="1"/>
        <v>0</v>
      </c>
      <c r="E29" s="8"/>
      <c r="F29" s="8" t="s">
        <v>272</v>
      </c>
    </row>
    <row r="30">
      <c r="A30" s="8" t="s">
        <v>273</v>
      </c>
      <c r="B30" s="17">
        <v>6.0</v>
      </c>
      <c r="C30" s="28">
        <f>IFERROR(__xludf.DUMMYFUNCTION("IF(F30="""", 0, COUNTA(SPLIT(F30, "","")))"),6.0)</f>
        <v>6</v>
      </c>
      <c r="D30" s="25">
        <f t="shared" si="1"/>
        <v>0</v>
      </c>
      <c r="E30" s="8"/>
      <c r="F30" s="8" t="s">
        <v>277</v>
      </c>
    </row>
    <row r="31">
      <c r="A31" s="8" t="s">
        <v>132</v>
      </c>
      <c r="B31" s="17">
        <v>8.0</v>
      </c>
      <c r="C31" s="28">
        <f>IFERROR(__xludf.DUMMYFUNCTION("IF(F31="""", 0, COUNTA(SPLIT(F31, "","")))"),8.0)</f>
        <v>8</v>
      </c>
      <c r="D31" s="25">
        <f t="shared" si="1"/>
        <v>0</v>
      </c>
      <c r="E31" s="8"/>
      <c r="F31" s="8" t="s">
        <v>280</v>
      </c>
    </row>
    <row r="32">
      <c r="A32" s="8" t="s">
        <v>85</v>
      </c>
      <c r="B32" s="17">
        <v>4.0</v>
      </c>
      <c r="C32" s="28">
        <f>IFERROR(__xludf.DUMMYFUNCTION("IF(F32="""", 0, COUNTA(SPLIT(F32, "","")))"),4.0)</f>
        <v>4</v>
      </c>
      <c r="D32" s="25">
        <f t="shared" si="1"/>
        <v>0</v>
      </c>
      <c r="E32" s="8"/>
      <c r="F32" s="8" t="s">
        <v>288</v>
      </c>
    </row>
    <row r="33">
      <c r="A33" s="8" t="s">
        <v>289</v>
      </c>
      <c r="B33" s="17">
        <v>12.0</v>
      </c>
      <c r="C33" s="28">
        <f>IFERROR(__xludf.DUMMYFUNCTION("IF(F33="""", 0, COUNTA(SPLIT(F33, "","")))"),13.0)</f>
        <v>13</v>
      </c>
      <c r="D33" s="25">
        <f t="shared" si="1"/>
        <v>-1</v>
      </c>
      <c r="E33" s="8"/>
      <c r="F33" s="8" t="s">
        <v>290</v>
      </c>
    </row>
    <row r="34">
      <c r="A34" s="8" t="s">
        <v>291</v>
      </c>
      <c r="B34" s="17">
        <v>8.0</v>
      </c>
      <c r="C34" s="20">
        <v>8.0</v>
      </c>
      <c r="D34" s="25">
        <f t="shared" si="1"/>
        <v>0</v>
      </c>
      <c r="E34" s="8"/>
      <c r="F34" s="8" t="s">
        <v>292</v>
      </c>
    </row>
    <row r="35">
      <c r="A35" s="8" t="s">
        <v>293</v>
      </c>
      <c r="B35" s="17">
        <v>0.0</v>
      </c>
      <c r="C35" s="28">
        <f>IFERROR(__xludf.DUMMYFUNCTION("IF(F35="""", 0, COUNTA(SPLIT(F35, "","")))"),0.0)</f>
        <v>0</v>
      </c>
      <c r="D35" s="25">
        <f t="shared" si="1"/>
        <v>0</v>
      </c>
      <c r="E35" s="8"/>
      <c r="F35" s="8"/>
    </row>
    <row r="36">
      <c r="A36" s="8" t="s">
        <v>305</v>
      </c>
      <c r="B36" s="17">
        <v>4.0</v>
      </c>
      <c r="C36" s="28">
        <f>IFERROR(__xludf.DUMMYFUNCTION("IF(F36="""", 0, COUNTA(SPLIT(F36, "","")))"),4.0)</f>
        <v>4</v>
      </c>
      <c r="D36" s="25">
        <f t="shared" si="1"/>
        <v>0</v>
      </c>
      <c r="E36" s="8"/>
      <c r="F36" s="8" t="s">
        <v>320</v>
      </c>
    </row>
    <row r="37">
      <c r="A37" s="8" t="s">
        <v>51</v>
      </c>
      <c r="B37" s="31">
        <v>4.0</v>
      </c>
      <c r="C37" s="28">
        <f>IFERROR(__xludf.DUMMYFUNCTION("IF(F37="""", 0, COUNTA(SPLIT(F37, "","")))"),4.0)</f>
        <v>4</v>
      </c>
      <c r="D37" s="25">
        <f t="shared" si="1"/>
        <v>0</v>
      </c>
      <c r="E37" s="8"/>
      <c r="F37" s="8" t="s">
        <v>324</v>
      </c>
    </row>
    <row r="38">
      <c r="A38" s="8" t="s">
        <v>52</v>
      </c>
      <c r="B38" s="31">
        <v>6.0</v>
      </c>
      <c r="C38" s="28">
        <f>IFERROR(__xludf.DUMMYFUNCTION("IF(F38="""", 0, COUNTA(SPLIT(F38, "","")))"),6.0)</f>
        <v>6</v>
      </c>
      <c r="D38" s="25">
        <f t="shared" si="1"/>
        <v>0</v>
      </c>
      <c r="E38" s="8"/>
      <c r="F38" s="8" t="s">
        <v>335</v>
      </c>
    </row>
    <row r="39">
      <c r="A39" s="8" t="s">
        <v>336</v>
      </c>
      <c r="B39" s="17">
        <v>8.0</v>
      </c>
      <c r="C39" s="28">
        <f>IFERROR(__xludf.DUMMYFUNCTION("IF(F39="""", 0, COUNTA(SPLIT(F39, "","")))"),10.0)</f>
        <v>10</v>
      </c>
      <c r="D39" s="25">
        <f t="shared" si="1"/>
        <v>-2</v>
      </c>
      <c r="E39" s="8"/>
      <c r="F39" s="8" t="s">
        <v>339</v>
      </c>
    </row>
    <row r="40">
      <c r="A40" s="8" t="s">
        <v>341</v>
      </c>
      <c r="B40" s="17">
        <v>8.0</v>
      </c>
      <c r="C40" s="28">
        <f>IFERROR(__xludf.DUMMYFUNCTION("IF(F40="""", 0, COUNTA(SPLIT(F40, "","")))"),8.0)</f>
        <v>8</v>
      </c>
      <c r="D40" s="25">
        <f t="shared" si="1"/>
        <v>0</v>
      </c>
      <c r="E40" s="8"/>
      <c r="F40" s="8" t="s">
        <v>344</v>
      </c>
    </row>
    <row r="41">
      <c r="A41" s="8" t="s">
        <v>346</v>
      </c>
      <c r="B41" s="31">
        <v>4.0</v>
      </c>
      <c r="C41" s="28">
        <f>IFERROR(__xludf.DUMMYFUNCTION("IF(F41="""", 0, COUNTA(SPLIT(F41, "","")))"),4.0)</f>
        <v>4</v>
      </c>
      <c r="D41" s="25">
        <f t="shared" si="1"/>
        <v>0</v>
      </c>
      <c r="E41" s="8"/>
      <c r="F41" s="8" t="s">
        <v>349</v>
      </c>
    </row>
    <row r="42">
      <c r="A42" s="8" t="s">
        <v>323</v>
      </c>
      <c r="B42" s="17">
        <v>8.0</v>
      </c>
      <c r="C42" s="28">
        <f>IFERROR(__xludf.DUMMYFUNCTION("IF(F42="""", 0, COUNTA(SPLIT(F42, "","")))"),8.0)</f>
        <v>8</v>
      </c>
      <c r="D42" s="25">
        <f t="shared" si="1"/>
        <v>0</v>
      </c>
      <c r="E42" s="8"/>
      <c r="F42" s="8" t="s">
        <v>355</v>
      </c>
    </row>
    <row r="43">
      <c r="A43" s="8" t="s">
        <v>60</v>
      </c>
      <c r="B43" s="31">
        <v>10.0</v>
      </c>
      <c r="C43" s="28">
        <f>IFERROR(__xludf.DUMMYFUNCTION("IF(F43="""", 0, COUNTA(SPLIT(F43, "","")))"),10.0)</f>
        <v>10</v>
      </c>
      <c r="D43" s="25">
        <f t="shared" si="1"/>
        <v>0</v>
      </c>
      <c r="E43" s="8"/>
      <c r="F43" s="8" t="s">
        <v>360</v>
      </c>
    </row>
    <row r="44">
      <c r="A44" s="8" t="s">
        <v>171</v>
      </c>
      <c r="B44" s="17">
        <v>4.0</v>
      </c>
      <c r="C44" s="28">
        <f>IFERROR(__xludf.DUMMYFUNCTION("IF(F44="""", 0, COUNTA(SPLIT(F44, "","")))"),4.0)</f>
        <v>4</v>
      </c>
      <c r="D44" s="25">
        <f t="shared" si="1"/>
        <v>0</v>
      </c>
      <c r="E44" s="8"/>
      <c r="F44" s="8" t="s">
        <v>363</v>
      </c>
    </row>
    <row r="45">
      <c r="A45" s="8" t="s">
        <v>364</v>
      </c>
      <c r="B45" s="17">
        <v>8.0</v>
      </c>
      <c r="C45" s="28">
        <f>IFERROR(__xludf.DUMMYFUNCTION("IF(F45="""", 0, COUNTA(SPLIT(F45, "","")))"),8.0)</f>
        <v>8</v>
      </c>
      <c r="D45" s="25">
        <f t="shared" si="1"/>
        <v>0</v>
      </c>
      <c r="E45" s="8"/>
      <c r="F45" s="8" t="s">
        <v>366</v>
      </c>
    </row>
    <row r="46">
      <c r="A46" s="11" t="s">
        <v>368</v>
      </c>
      <c r="B46" s="39">
        <v>4.0</v>
      </c>
      <c r="C46" s="31">
        <v>0.0</v>
      </c>
      <c r="D46" s="25">
        <v>4.0</v>
      </c>
    </row>
    <row r="47">
      <c r="B47" s="19">
        <f t="shared" ref="B47:C47" si="2">SUM(B2:B46)</f>
        <v>320</v>
      </c>
      <c r="C47" s="41">
        <f t="shared" si="2"/>
        <v>318</v>
      </c>
      <c r="D47" s="25">
        <f>B47-C47</f>
        <v>2</v>
      </c>
    </row>
    <row r="48">
      <c r="C48" s="41"/>
      <c r="D48" s="41"/>
    </row>
    <row r="49">
      <c r="C49" s="41"/>
      <c r="D49" s="41"/>
    </row>
    <row r="50">
      <c r="C50" s="41"/>
      <c r="D50" s="41"/>
    </row>
    <row r="51">
      <c r="C51" s="41"/>
      <c r="D51" s="41"/>
    </row>
    <row r="52">
      <c r="C52" s="41"/>
      <c r="D52" s="41"/>
    </row>
    <row r="53">
      <c r="C53" s="41"/>
      <c r="D53" s="41"/>
    </row>
    <row r="54">
      <c r="C54" s="41"/>
      <c r="D54" s="41"/>
    </row>
    <row r="55">
      <c r="C55" s="41"/>
      <c r="D55" s="41"/>
    </row>
    <row r="56">
      <c r="C56" s="41"/>
      <c r="D56" s="41"/>
    </row>
    <row r="57">
      <c r="C57" s="41"/>
      <c r="D57" s="41"/>
    </row>
    <row r="58">
      <c r="C58" s="41"/>
      <c r="D58" s="41"/>
    </row>
    <row r="59">
      <c r="C59" s="41"/>
      <c r="D59" s="41"/>
    </row>
    <row r="60">
      <c r="C60" s="41"/>
      <c r="D60" s="41"/>
    </row>
    <row r="61">
      <c r="C61" s="41"/>
      <c r="D61" s="41"/>
    </row>
    <row r="62">
      <c r="C62" s="41"/>
      <c r="D62" s="41"/>
    </row>
    <row r="63">
      <c r="C63" s="41"/>
      <c r="D63" s="41"/>
    </row>
    <row r="64">
      <c r="C64" s="41"/>
      <c r="D64" s="41"/>
    </row>
    <row r="65">
      <c r="C65" s="41"/>
      <c r="D65" s="41"/>
    </row>
    <row r="66">
      <c r="C66" s="41"/>
      <c r="D66" s="41"/>
    </row>
    <row r="67">
      <c r="C67" s="41"/>
      <c r="D67" s="41"/>
    </row>
    <row r="68">
      <c r="C68" s="41"/>
      <c r="D68" s="41"/>
    </row>
    <row r="69">
      <c r="C69" s="41"/>
      <c r="D69" s="41"/>
    </row>
    <row r="70">
      <c r="C70" s="41"/>
      <c r="D70" s="41"/>
    </row>
    <row r="71">
      <c r="C71" s="41"/>
      <c r="D71" s="41"/>
    </row>
    <row r="72">
      <c r="C72" s="41"/>
      <c r="D72" s="41"/>
    </row>
    <row r="73">
      <c r="C73" s="41"/>
      <c r="D73" s="41"/>
    </row>
    <row r="74">
      <c r="C74" s="41"/>
      <c r="D74" s="41"/>
    </row>
    <row r="75">
      <c r="C75" s="41"/>
      <c r="D75" s="41"/>
    </row>
    <row r="76">
      <c r="C76" s="41"/>
      <c r="D76" s="41"/>
    </row>
    <row r="77">
      <c r="C77" s="41"/>
      <c r="D77" s="41"/>
    </row>
    <row r="78">
      <c r="C78" s="41"/>
      <c r="D78" s="41"/>
    </row>
    <row r="79">
      <c r="C79" s="41"/>
      <c r="D79" s="41"/>
    </row>
    <row r="80">
      <c r="C80" s="41"/>
      <c r="D80" s="41"/>
    </row>
    <row r="81">
      <c r="C81" s="41"/>
      <c r="D81" s="41"/>
    </row>
    <row r="82">
      <c r="C82" s="41"/>
      <c r="D82" s="41"/>
    </row>
    <row r="83">
      <c r="C83" s="41"/>
      <c r="D83" s="41"/>
    </row>
    <row r="84">
      <c r="C84" s="41"/>
      <c r="D84" s="41"/>
    </row>
    <row r="85">
      <c r="C85" s="41"/>
      <c r="D85" s="41"/>
    </row>
    <row r="86">
      <c r="C86" s="41"/>
      <c r="D86" s="41"/>
    </row>
    <row r="87">
      <c r="C87" s="41"/>
      <c r="D87" s="41"/>
    </row>
    <row r="88">
      <c r="C88" s="41"/>
      <c r="D88" s="41"/>
    </row>
    <row r="89">
      <c r="C89" s="41"/>
      <c r="D89" s="41"/>
    </row>
    <row r="90">
      <c r="C90" s="41"/>
      <c r="D90" s="41"/>
    </row>
    <row r="91">
      <c r="C91" s="41"/>
      <c r="D91" s="41"/>
    </row>
    <row r="92">
      <c r="C92" s="41"/>
      <c r="D92" s="41"/>
    </row>
    <row r="93">
      <c r="C93" s="41"/>
      <c r="D93" s="41"/>
    </row>
    <row r="94">
      <c r="C94" s="41"/>
      <c r="D94" s="41"/>
    </row>
    <row r="95">
      <c r="C95" s="41"/>
      <c r="D95" s="41"/>
    </row>
    <row r="96">
      <c r="C96" s="41"/>
      <c r="D96" s="41"/>
    </row>
    <row r="97">
      <c r="C97" s="41"/>
      <c r="D97" s="41"/>
    </row>
    <row r="98">
      <c r="C98" s="41"/>
      <c r="D98" s="41"/>
    </row>
    <row r="99">
      <c r="C99" s="41"/>
      <c r="D99" s="41"/>
    </row>
    <row r="100">
      <c r="C100" s="41"/>
      <c r="D100" s="41"/>
    </row>
    <row r="101">
      <c r="C101" s="41"/>
      <c r="D101" s="41"/>
    </row>
    <row r="102">
      <c r="C102" s="41"/>
      <c r="D102" s="41"/>
    </row>
    <row r="103">
      <c r="C103" s="41"/>
      <c r="D103" s="41"/>
    </row>
    <row r="104">
      <c r="C104" s="41"/>
      <c r="D104" s="41"/>
    </row>
    <row r="105">
      <c r="C105" s="41"/>
      <c r="D105" s="41"/>
    </row>
    <row r="106">
      <c r="C106" s="41"/>
      <c r="D106" s="41"/>
    </row>
    <row r="107">
      <c r="C107" s="41"/>
      <c r="D107" s="41"/>
    </row>
    <row r="108">
      <c r="C108" s="41"/>
      <c r="D108" s="41"/>
    </row>
    <row r="109">
      <c r="C109" s="41"/>
      <c r="D109" s="41"/>
    </row>
    <row r="110">
      <c r="C110" s="41"/>
      <c r="D110" s="41"/>
    </row>
    <row r="111">
      <c r="C111" s="41"/>
      <c r="D111" s="41"/>
    </row>
    <row r="112">
      <c r="C112" s="41"/>
      <c r="D112" s="41"/>
    </row>
    <row r="113">
      <c r="C113" s="41"/>
      <c r="D113" s="41"/>
    </row>
    <row r="114">
      <c r="C114" s="41"/>
      <c r="D114" s="41"/>
    </row>
    <row r="115">
      <c r="C115" s="41"/>
      <c r="D115" s="41"/>
    </row>
    <row r="116">
      <c r="C116" s="41"/>
      <c r="D116" s="41"/>
    </row>
    <row r="117">
      <c r="C117" s="41"/>
      <c r="D117" s="41"/>
    </row>
    <row r="118">
      <c r="C118" s="41"/>
      <c r="D118" s="41"/>
    </row>
    <row r="119">
      <c r="C119" s="41"/>
      <c r="D119" s="41"/>
    </row>
    <row r="120">
      <c r="C120" s="41"/>
      <c r="D120" s="41"/>
    </row>
    <row r="121">
      <c r="C121" s="41"/>
      <c r="D121" s="41"/>
    </row>
    <row r="122">
      <c r="C122" s="41"/>
      <c r="D122" s="41"/>
    </row>
    <row r="123">
      <c r="C123" s="41"/>
      <c r="D123" s="41"/>
    </row>
    <row r="124">
      <c r="C124" s="41"/>
      <c r="D124" s="41"/>
    </row>
    <row r="125">
      <c r="C125" s="41"/>
      <c r="D125" s="41"/>
    </row>
    <row r="126">
      <c r="C126" s="41"/>
      <c r="D126" s="41"/>
    </row>
    <row r="127">
      <c r="C127" s="41"/>
      <c r="D127" s="41"/>
    </row>
    <row r="128">
      <c r="C128" s="41"/>
      <c r="D128" s="41"/>
    </row>
    <row r="129">
      <c r="C129" s="41"/>
      <c r="D129" s="41"/>
    </row>
    <row r="130">
      <c r="C130" s="41"/>
      <c r="D130" s="41"/>
    </row>
    <row r="131">
      <c r="C131" s="41"/>
      <c r="D131" s="41"/>
    </row>
    <row r="132">
      <c r="C132" s="41"/>
      <c r="D132" s="41"/>
    </row>
    <row r="133">
      <c r="C133" s="41"/>
      <c r="D133" s="41"/>
    </row>
    <row r="134">
      <c r="C134" s="41"/>
      <c r="D134" s="41"/>
    </row>
    <row r="135">
      <c r="C135" s="41"/>
      <c r="D135" s="41"/>
    </row>
    <row r="136">
      <c r="C136" s="41"/>
      <c r="D136" s="41"/>
    </row>
    <row r="137">
      <c r="C137" s="41"/>
      <c r="D137" s="41"/>
    </row>
    <row r="138">
      <c r="C138" s="41"/>
      <c r="D138" s="41"/>
    </row>
    <row r="139">
      <c r="C139" s="41"/>
      <c r="D139" s="41"/>
    </row>
    <row r="140">
      <c r="C140" s="41"/>
      <c r="D140" s="41"/>
    </row>
    <row r="141">
      <c r="C141" s="41"/>
      <c r="D141" s="41"/>
    </row>
    <row r="142">
      <c r="C142" s="41"/>
      <c r="D142" s="41"/>
    </row>
    <row r="143">
      <c r="C143" s="41"/>
      <c r="D143" s="41"/>
    </row>
    <row r="144">
      <c r="C144" s="41"/>
      <c r="D144" s="41"/>
    </row>
    <row r="145">
      <c r="C145" s="41"/>
      <c r="D145" s="41"/>
    </row>
    <row r="146">
      <c r="C146" s="41"/>
      <c r="D146" s="41"/>
    </row>
    <row r="147">
      <c r="C147" s="41"/>
      <c r="D147" s="41"/>
    </row>
    <row r="148">
      <c r="C148" s="41"/>
      <c r="D148" s="41"/>
    </row>
    <row r="149">
      <c r="C149" s="41"/>
      <c r="D149" s="41"/>
    </row>
    <row r="150">
      <c r="C150" s="41"/>
      <c r="D150" s="41"/>
    </row>
    <row r="151">
      <c r="C151" s="41"/>
      <c r="D151" s="41"/>
    </row>
    <row r="152">
      <c r="C152" s="41"/>
      <c r="D152" s="41"/>
    </row>
    <row r="153">
      <c r="C153" s="41"/>
      <c r="D153" s="41"/>
    </row>
    <row r="154">
      <c r="C154" s="41"/>
      <c r="D154" s="41"/>
    </row>
    <row r="155">
      <c r="C155" s="41"/>
      <c r="D155" s="41"/>
    </row>
    <row r="156">
      <c r="C156" s="41"/>
      <c r="D156" s="41"/>
    </row>
    <row r="157">
      <c r="C157" s="41"/>
      <c r="D157" s="41"/>
    </row>
    <row r="158">
      <c r="C158" s="41"/>
      <c r="D158" s="41"/>
    </row>
    <row r="159">
      <c r="C159" s="41"/>
      <c r="D159" s="41"/>
    </row>
    <row r="160">
      <c r="C160" s="41"/>
      <c r="D160" s="41"/>
    </row>
    <row r="161">
      <c r="C161" s="41"/>
      <c r="D161" s="41"/>
    </row>
    <row r="162">
      <c r="C162" s="41"/>
      <c r="D162" s="41"/>
    </row>
    <row r="163">
      <c r="C163" s="41"/>
      <c r="D163" s="41"/>
    </row>
    <row r="164">
      <c r="C164" s="41"/>
      <c r="D164" s="41"/>
    </row>
    <row r="165">
      <c r="C165" s="41"/>
      <c r="D165" s="41"/>
    </row>
    <row r="166">
      <c r="C166" s="41"/>
      <c r="D166" s="41"/>
    </row>
    <row r="167">
      <c r="C167" s="41"/>
      <c r="D167" s="41"/>
    </row>
    <row r="168">
      <c r="C168" s="41"/>
      <c r="D168" s="41"/>
    </row>
    <row r="169">
      <c r="C169" s="41"/>
      <c r="D169" s="41"/>
    </row>
    <row r="170">
      <c r="C170" s="41"/>
      <c r="D170" s="41"/>
    </row>
    <row r="171">
      <c r="C171" s="41"/>
      <c r="D171" s="41"/>
    </row>
    <row r="172">
      <c r="C172" s="41"/>
      <c r="D172" s="41"/>
    </row>
    <row r="173">
      <c r="C173" s="41"/>
      <c r="D173" s="41"/>
    </row>
    <row r="174">
      <c r="C174" s="41"/>
      <c r="D174" s="41"/>
    </row>
    <row r="175">
      <c r="C175" s="41"/>
      <c r="D175" s="41"/>
    </row>
    <row r="176">
      <c r="C176" s="41"/>
      <c r="D176" s="41"/>
    </row>
    <row r="177">
      <c r="C177" s="41"/>
      <c r="D177" s="41"/>
    </row>
    <row r="178">
      <c r="C178" s="41"/>
      <c r="D178" s="41"/>
    </row>
    <row r="179">
      <c r="C179" s="41"/>
      <c r="D179" s="41"/>
    </row>
    <row r="180">
      <c r="C180" s="41"/>
      <c r="D180" s="41"/>
    </row>
    <row r="181">
      <c r="C181" s="41"/>
      <c r="D181" s="41"/>
    </row>
    <row r="182">
      <c r="C182" s="41"/>
      <c r="D182" s="41"/>
    </row>
    <row r="183">
      <c r="C183" s="41"/>
      <c r="D183" s="41"/>
    </row>
    <row r="184">
      <c r="C184" s="41"/>
      <c r="D184" s="41"/>
    </row>
    <row r="185">
      <c r="C185" s="41"/>
      <c r="D185" s="41"/>
    </row>
    <row r="186">
      <c r="C186" s="41"/>
      <c r="D186" s="41"/>
    </row>
    <row r="187">
      <c r="C187" s="41"/>
      <c r="D187" s="41"/>
    </row>
    <row r="188">
      <c r="C188" s="41"/>
      <c r="D188" s="41"/>
    </row>
    <row r="189">
      <c r="C189" s="41"/>
      <c r="D189" s="41"/>
    </row>
    <row r="190">
      <c r="C190" s="41"/>
      <c r="D190" s="41"/>
    </row>
    <row r="191">
      <c r="C191" s="41"/>
      <c r="D191" s="41"/>
    </row>
    <row r="192">
      <c r="C192" s="41"/>
      <c r="D192" s="41"/>
    </row>
    <row r="193">
      <c r="C193" s="41"/>
      <c r="D193" s="41"/>
    </row>
    <row r="194">
      <c r="C194" s="41"/>
      <c r="D194" s="41"/>
    </row>
    <row r="195">
      <c r="C195" s="41"/>
      <c r="D195" s="41"/>
    </row>
    <row r="196">
      <c r="C196" s="41"/>
      <c r="D196" s="41"/>
    </row>
    <row r="197">
      <c r="C197" s="41"/>
      <c r="D197" s="41"/>
    </row>
    <row r="198">
      <c r="C198" s="41"/>
      <c r="D198" s="41"/>
    </row>
    <row r="199">
      <c r="C199" s="41"/>
      <c r="D199" s="41"/>
    </row>
    <row r="200">
      <c r="C200" s="41"/>
      <c r="D200" s="41"/>
    </row>
    <row r="201">
      <c r="C201" s="41"/>
      <c r="D201" s="41"/>
    </row>
    <row r="202">
      <c r="C202" s="41"/>
      <c r="D202" s="41"/>
    </row>
    <row r="203">
      <c r="C203" s="41"/>
      <c r="D203" s="41"/>
    </row>
    <row r="204">
      <c r="C204" s="41"/>
      <c r="D204" s="41"/>
    </row>
    <row r="205">
      <c r="C205" s="41"/>
      <c r="D205" s="41"/>
    </row>
    <row r="206">
      <c r="C206" s="41"/>
      <c r="D206" s="41"/>
    </row>
    <row r="207">
      <c r="C207" s="41"/>
      <c r="D207" s="41"/>
    </row>
    <row r="208">
      <c r="C208" s="41"/>
      <c r="D208" s="41"/>
    </row>
    <row r="209">
      <c r="C209" s="41"/>
      <c r="D209" s="41"/>
    </row>
    <row r="210">
      <c r="C210" s="41"/>
      <c r="D210" s="41"/>
    </row>
    <row r="211">
      <c r="C211" s="41"/>
      <c r="D211" s="41"/>
    </row>
    <row r="212">
      <c r="C212" s="41"/>
      <c r="D212" s="41"/>
    </row>
    <row r="213">
      <c r="C213" s="41"/>
      <c r="D213" s="41"/>
    </row>
    <row r="214">
      <c r="C214" s="41"/>
      <c r="D214" s="41"/>
    </row>
    <row r="215">
      <c r="C215" s="41"/>
      <c r="D215" s="41"/>
    </row>
    <row r="216">
      <c r="C216" s="41"/>
      <c r="D216" s="41"/>
    </row>
    <row r="217">
      <c r="C217" s="41"/>
      <c r="D217" s="41"/>
    </row>
    <row r="218">
      <c r="C218" s="41"/>
      <c r="D218" s="41"/>
    </row>
    <row r="219">
      <c r="C219" s="41"/>
      <c r="D219" s="41"/>
    </row>
    <row r="220">
      <c r="C220" s="41"/>
      <c r="D220" s="41"/>
    </row>
    <row r="221">
      <c r="C221" s="41"/>
      <c r="D221" s="41"/>
    </row>
    <row r="222">
      <c r="C222" s="41"/>
      <c r="D222" s="41"/>
    </row>
    <row r="223">
      <c r="C223" s="41"/>
      <c r="D223" s="41"/>
    </row>
    <row r="224">
      <c r="C224" s="41"/>
      <c r="D224" s="41"/>
    </row>
    <row r="225">
      <c r="C225" s="41"/>
      <c r="D225" s="41"/>
    </row>
    <row r="226">
      <c r="C226" s="41"/>
      <c r="D226" s="41"/>
    </row>
    <row r="227">
      <c r="C227" s="41"/>
      <c r="D227" s="41"/>
    </row>
    <row r="228">
      <c r="C228" s="41"/>
      <c r="D228" s="41"/>
    </row>
    <row r="229">
      <c r="C229" s="41"/>
      <c r="D229" s="41"/>
    </row>
    <row r="230">
      <c r="C230" s="41"/>
      <c r="D230" s="41"/>
    </row>
    <row r="231">
      <c r="C231" s="41"/>
      <c r="D231" s="41"/>
    </row>
    <row r="232">
      <c r="C232" s="41"/>
      <c r="D232" s="41"/>
    </row>
    <row r="233">
      <c r="C233" s="41"/>
      <c r="D233" s="41"/>
    </row>
    <row r="234">
      <c r="C234" s="41"/>
      <c r="D234" s="41"/>
    </row>
    <row r="235">
      <c r="C235" s="41"/>
      <c r="D235" s="41"/>
    </row>
    <row r="236">
      <c r="C236" s="41"/>
      <c r="D236" s="41"/>
    </row>
    <row r="237">
      <c r="C237" s="41"/>
      <c r="D237" s="41"/>
    </row>
    <row r="238">
      <c r="C238" s="41"/>
      <c r="D238" s="41"/>
    </row>
    <row r="239">
      <c r="C239" s="41"/>
      <c r="D239" s="41"/>
    </row>
    <row r="240">
      <c r="C240" s="41"/>
      <c r="D240" s="41"/>
    </row>
    <row r="241">
      <c r="C241" s="41"/>
      <c r="D241" s="41"/>
    </row>
    <row r="242">
      <c r="C242" s="41"/>
      <c r="D242" s="41"/>
    </row>
    <row r="243">
      <c r="C243" s="41"/>
      <c r="D243" s="41"/>
    </row>
    <row r="244">
      <c r="C244" s="41"/>
      <c r="D244" s="41"/>
    </row>
    <row r="245">
      <c r="C245" s="41"/>
      <c r="D245" s="41"/>
    </row>
    <row r="246">
      <c r="C246" s="41"/>
      <c r="D246" s="41"/>
    </row>
    <row r="247">
      <c r="C247" s="41"/>
      <c r="D247" s="41"/>
    </row>
    <row r="248">
      <c r="C248" s="41"/>
      <c r="D248" s="41"/>
    </row>
    <row r="249">
      <c r="C249" s="41"/>
      <c r="D249" s="41"/>
    </row>
    <row r="250">
      <c r="C250" s="41"/>
      <c r="D250" s="41"/>
    </row>
    <row r="251">
      <c r="C251" s="41"/>
      <c r="D251" s="41"/>
    </row>
    <row r="252">
      <c r="C252" s="41"/>
      <c r="D252" s="41"/>
    </row>
    <row r="253">
      <c r="C253" s="41"/>
      <c r="D253" s="41"/>
    </row>
    <row r="254">
      <c r="C254" s="41"/>
      <c r="D254" s="41"/>
    </row>
    <row r="255">
      <c r="C255" s="41"/>
      <c r="D255" s="41"/>
    </row>
    <row r="256">
      <c r="C256" s="41"/>
      <c r="D256" s="41"/>
    </row>
    <row r="257">
      <c r="C257" s="41"/>
      <c r="D257" s="41"/>
    </row>
    <row r="258">
      <c r="C258" s="41"/>
      <c r="D258" s="41"/>
    </row>
    <row r="259">
      <c r="C259" s="41"/>
      <c r="D259" s="41"/>
    </row>
    <row r="260">
      <c r="C260" s="41"/>
      <c r="D260" s="41"/>
    </row>
    <row r="261">
      <c r="C261" s="41"/>
      <c r="D261" s="41"/>
    </row>
    <row r="262">
      <c r="C262" s="41"/>
      <c r="D262" s="41"/>
    </row>
    <row r="263">
      <c r="C263" s="41"/>
      <c r="D263" s="41"/>
    </row>
    <row r="264">
      <c r="C264" s="41"/>
      <c r="D264" s="41"/>
    </row>
    <row r="265">
      <c r="C265" s="41"/>
      <c r="D265" s="41"/>
    </row>
    <row r="266">
      <c r="C266" s="41"/>
      <c r="D266" s="41"/>
    </row>
    <row r="267">
      <c r="C267" s="41"/>
      <c r="D267" s="41"/>
    </row>
    <row r="268">
      <c r="C268" s="41"/>
      <c r="D268" s="41"/>
    </row>
    <row r="269">
      <c r="C269" s="41"/>
      <c r="D269" s="41"/>
    </row>
    <row r="270">
      <c r="C270" s="41"/>
      <c r="D270" s="41"/>
    </row>
    <row r="271">
      <c r="C271" s="41"/>
      <c r="D271" s="41"/>
    </row>
    <row r="272">
      <c r="C272" s="41"/>
      <c r="D272" s="41"/>
    </row>
    <row r="273">
      <c r="C273" s="41"/>
      <c r="D273" s="41"/>
    </row>
    <row r="274">
      <c r="C274" s="41"/>
      <c r="D274" s="41"/>
    </row>
    <row r="275">
      <c r="C275" s="41"/>
      <c r="D275" s="41"/>
    </row>
    <row r="276">
      <c r="C276" s="41"/>
      <c r="D276" s="41"/>
    </row>
    <row r="277">
      <c r="C277" s="41"/>
      <c r="D277" s="41"/>
    </row>
    <row r="278">
      <c r="C278" s="41"/>
      <c r="D278" s="41"/>
    </row>
    <row r="279">
      <c r="C279" s="41"/>
      <c r="D279" s="41"/>
    </row>
    <row r="280">
      <c r="C280" s="41"/>
      <c r="D280" s="41"/>
    </row>
    <row r="281">
      <c r="C281" s="41"/>
      <c r="D281" s="41"/>
    </row>
    <row r="282">
      <c r="C282" s="41"/>
      <c r="D282" s="41"/>
    </row>
    <row r="283">
      <c r="C283" s="41"/>
      <c r="D283" s="41"/>
    </row>
    <row r="284">
      <c r="C284" s="41"/>
      <c r="D284" s="41"/>
    </row>
    <row r="285">
      <c r="C285" s="41"/>
      <c r="D285" s="41"/>
    </row>
    <row r="286">
      <c r="C286" s="41"/>
      <c r="D286" s="41"/>
    </row>
    <row r="287">
      <c r="C287" s="41"/>
      <c r="D287" s="41"/>
    </row>
    <row r="288">
      <c r="C288" s="41"/>
      <c r="D288" s="41"/>
    </row>
    <row r="289">
      <c r="C289" s="41"/>
      <c r="D289" s="41"/>
    </row>
    <row r="290">
      <c r="C290" s="41"/>
      <c r="D290" s="41"/>
    </row>
    <row r="291">
      <c r="C291" s="41"/>
      <c r="D291" s="41"/>
    </row>
    <row r="292">
      <c r="C292" s="41"/>
      <c r="D292" s="41"/>
    </row>
    <row r="293">
      <c r="C293" s="41"/>
      <c r="D293" s="41"/>
    </row>
    <row r="294">
      <c r="C294" s="41"/>
      <c r="D294" s="41"/>
    </row>
    <row r="295">
      <c r="C295" s="41"/>
      <c r="D295" s="41"/>
    </row>
    <row r="296">
      <c r="C296" s="41"/>
      <c r="D296" s="41"/>
    </row>
    <row r="297">
      <c r="C297" s="41"/>
      <c r="D297" s="41"/>
    </row>
    <row r="298">
      <c r="C298" s="41"/>
      <c r="D298" s="41"/>
    </row>
    <row r="299">
      <c r="C299" s="41"/>
      <c r="D299" s="41"/>
    </row>
    <row r="300">
      <c r="C300" s="41"/>
      <c r="D300" s="41"/>
    </row>
    <row r="301">
      <c r="C301" s="41"/>
      <c r="D301" s="41"/>
    </row>
    <row r="302">
      <c r="C302" s="41"/>
      <c r="D302" s="41"/>
    </row>
    <row r="303">
      <c r="C303" s="41"/>
      <c r="D303" s="41"/>
    </row>
    <row r="304">
      <c r="C304" s="41"/>
      <c r="D304" s="41"/>
    </row>
    <row r="305">
      <c r="C305" s="41"/>
      <c r="D305" s="41"/>
    </row>
    <row r="306">
      <c r="C306" s="41"/>
      <c r="D306" s="41"/>
    </row>
    <row r="307">
      <c r="C307" s="41"/>
      <c r="D307" s="41"/>
    </row>
    <row r="308">
      <c r="C308" s="41"/>
      <c r="D308" s="41"/>
    </row>
    <row r="309">
      <c r="C309" s="41"/>
      <c r="D309" s="41"/>
    </row>
    <row r="310">
      <c r="C310" s="41"/>
      <c r="D310" s="41"/>
    </row>
    <row r="311">
      <c r="C311" s="41"/>
      <c r="D311" s="41"/>
    </row>
    <row r="312">
      <c r="C312" s="41"/>
      <c r="D312" s="41"/>
    </row>
    <row r="313">
      <c r="C313" s="41"/>
      <c r="D313" s="41"/>
    </row>
    <row r="314">
      <c r="C314" s="41"/>
      <c r="D314" s="41"/>
    </row>
    <row r="315">
      <c r="C315" s="41"/>
      <c r="D315" s="41"/>
    </row>
    <row r="316">
      <c r="C316" s="41"/>
      <c r="D316" s="41"/>
    </row>
    <row r="317">
      <c r="C317" s="41"/>
      <c r="D317" s="41"/>
    </row>
    <row r="318">
      <c r="C318" s="41"/>
      <c r="D318" s="41"/>
    </row>
    <row r="319">
      <c r="C319" s="41"/>
      <c r="D319" s="41"/>
    </row>
    <row r="320">
      <c r="C320" s="41"/>
      <c r="D320" s="41"/>
    </row>
    <row r="321">
      <c r="C321" s="41"/>
      <c r="D321" s="41"/>
    </row>
    <row r="322">
      <c r="C322" s="41"/>
      <c r="D322" s="41"/>
    </row>
    <row r="323">
      <c r="C323" s="41"/>
      <c r="D323" s="41"/>
    </row>
    <row r="324">
      <c r="C324" s="41"/>
      <c r="D324" s="41"/>
    </row>
    <row r="325">
      <c r="C325" s="41"/>
      <c r="D325" s="41"/>
    </row>
    <row r="326">
      <c r="C326" s="41"/>
      <c r="D326" s="41"/>
    </row>
    <row r="327">
      <c r="C327" s="41"/>
      <c r="D327" s="41"/>
    </row>
    <row r="328">
      <c r="C328" s="41"/>
      <c r="D328" s="41"/>
    </row>
    <row r="329">
      <c r="C329" s="41"/>
      <c r="D329" s="41"/>
    </row>
    <row r="330">
      <c r="C330" s="41"/>
      <c r="D330" s="41"/>
    </row>
    <row r="331">
      <c r="C331" s="41"/>
      <c r="D331" s="41"/>
    </row>
    <row r="332">
      <c r="C332" s="41"/>
      <c r="D332" s="41"/>
    </row>
    <row r="333">
      <c r="C333" s="41"/>
      <c r="D333" s="41"/>
    </row>
    <row r="334">
      <c r="C334" s="41"/>
      <c r="D334" s="41"/>
    </row>
    <row r="335">
      <c r="C335" s="41"/>
      <c r="D335" s="41"/>
    </row>
    <row r="336">
      <c r="C336" s="41"/>
      <c r="D336" s="41"/>
    </row>
    <row r="337">
      <c r="C337" s="41"/>
      <c r="D337" s="41"/>
    </row>
    <row r="338">
      <c r="C338" s="41"/>
      <c r="D338" s="41"/>
    </row>
    <row r="339">
      <c r="C339" s="41"/>
      <c r="D339" s="41"/>
    </row>
    <row r="340">
      <c r="C340" s="41"/>
      <c r="D340" s="41"/>
    </row>
    <row r="341">
      <c r="C341" s="41"/>
      <c r="D341" s="41"/>
    </row>
    <row r="342">
      <c r="C342" s="41"/>
      <c r="D342" s="41"/>
    </row>
    <row r="343">
      <c r="C343" s="41"/>
      <c r="D343" s="41"/>
    </row>
    <row r="344">
      <c r="C344" s="41"/>
      <c r="D344" s="41"/>
    </row>
    <row r="345">
      <c r="C345" s="41"/>
      <c r="D345" s="41"/>
    </row>
    <row r="346">
      <c r="C346" s="41"/>
      <c r="D346" s="41"/>
    </row>
    <row r="347">
      <c r="C347" s="41"/>
      <c r="D347" s="41"/>
    </row>
    <row r="348">
      <c r="C348" s="41"/>
      <c r="D348" s="41"/>
    </row>
    <row r="349">
      <c r="C349" s="41"/>
      <c r="D349" s="41"/>
    </row>
    <row r="350">
      <c r="C350" s="41"/>
      <c r="D350" s="41"/>
    </row>
    <row r="351">
      <c r="C351" s="41"/>
      <c r="D351" s="41"/>
    </row>
    <row r="352">
      <c r="C352" s="41"/>
      <c r="D352" s="41"/>
    </row>
    <row r="353">
      <c r="C353" s="41"/>
      <c r="D353" s="41"/>
    </row>
    <row r="354">
      <c r="C354" s="41"/>
      <c r="D354" s="41"/>
    </row>
    <row r="355">
      <c r="C355" s="41"/>
      <c r="D355" s="41"/>
    </row>
    <row r="356">
      <c r="C356" s="41"/>
      <c r="D356" s="41"/>
    </row>
    <row r="357">
      <c r="C357" s="41"/>
      <c r="D357" s="41"/>
    </row>
    <row r="358">
      <c r="C358" s="41"/>
      <c r="D358" s="41"/>
    </row>
    <row r="359">
      <c r="C359" s="41"/>
      <c r="D359" s="41"/>
    </row>
    <row r="360">
      <c r="C360" s="41"/>
      <c r="D360" s="41"/>
    </row>
    <row r="361">
      <c r="C361" s="41"/>
      <c r="D361" s="41"/>
    </row>
    <row r="362">
      <c r="C362" s="41"/>
      <c r="D362" s="41"/>
    </row>
    <row r="363">
      <c r="C363" s="41"/>
      <c r="D363" s="41"/>
    </row>
    <row r="364">
      <c r="C364" s="41"/>
      <c r="D364" s="41"/>
    </row>
    <row r="365">
      <c r="C365" s="41"/>
      <c r="D365" s="41"/>
    </row>
    <row r="366">
      <c r="C366" s="41"/>
      <c r="D366" s="41"/>
    </row>
    <row r="367">
      <c r="C367" s="41"/>
      <c r="D367" s="41"/>
    </row>
    <row r="368">
      <c r="C368" s="41"/>
      <c r="D368" s="41"/>
    </row>
    <row r="369">
      <c r="C369" s="41"/>
      <c r="D369" s="41"/>
    </row>
    <row r="370">
      <c r="C370" s="41"/>
      <c r="D370" s="41"/>
    </row>
    <row r="371">
      <c r="C371" s="41"/>
      <c r="D371" s="41"/>
    </row>
    <row r="372">
      <c r="C372" s="41"/>
      <c r="D372" s="41"/>
    </row>
    <row r="373">
      <c r="C373" s="41"/>
      <c r="D373" s="41"/>
    </row>
    <row r="374">
      <c r="C374" s="41"/>
      <c r="D374" s="41"/>
    </row>
    <row r="375">
      <c r="C375" s="41"/>
      <c r="D375" s="41"/>
    </row>
    <row r="376">
      <c r="C376" s="41"/>
      <c r="D376" s="41"/>
    </row>
    <row r="377">
      <c r="C377" s="41"/>
      <c r="D377" s="41"/>
    </row>
    <row r="378">
      <c r="C378" s="41"/>
      <c r="D378" s="41"/>
    </row>
    <row r="379">
      <c r="C379" s="41"/>
      <c r="D379" s="41"/>
    </row>
    <row r="380">
      <c r="C380" s="41"/>
      <c r="D380" s="41"/>
    </row>
    <row r="381">
      <c r="C381" s="41"/>
      <c r="D381" s="41"/>
    </row>
    <row r="382">
      <c r="C382" s="41"/>
      <c r="D382" s="41"/>
    </row>
    <row r="383">
      <c r="C383" s="41"/>
      <c r="D383" s="41"/>
    </row>
    <row r="384">
      <c r="C384" s="41"/>
      <c r="D384" s="41"/>
    </row>
    <row r="385">
      <c r="C385" s="41"/>
      <c r="D385" s="41"/>
    </row>
    <row r="386">
      <c r="C386" s="41"/>
      <c r="D386" s="41"/>
    </row>
    <row r="387">
      <c r="C387" s="41"/>
      <c r="D387" s="41"/>
    </row>
    <row r="388">
      <c r="C388" s="41"/>
      <c r="D388" s="41"/>
    </row>
    <row r="389">
      <c r="C389" s="41"/>
      <c r="D389" s="41"/>
    </row>
    <row r="390">
      <c r="C390" s="41"/>
      <c r="D390" s="41"/>
    </row>
    <row r="391">
      <c r="C391" s="41"/>
      <c r="D391" s="41"/>
    </row>
    <row r="392">
      <c r="C392" s="41"/>
      <c r="D392" s="41"/>
    </row>
    <row r="393">
      <c r="C393" s="41"/>
      <c r="D393" s="41"/>
    </row>
    <row r="394">
      <c r="C394" s="41"/>
      <c r="D394" s="41"/>
    </row>
    <row r="395">
      <c r="C395" s="41"/>
      <c r="D395" s="41"/>
    </row>
    <row r="396">
      <c r="C396" s="41"/>
      <c r="D396" s="41"/>
    </row>
    <row r="397">
      <c r="C397" s="41"/>
      <c r="D397" s="41"/>
    </row>
    <row r="398">
      <c r="C398" s="41"/>
      <c r="D398" s="41"/>
    </row>
    <row r="399">
      <c r="C399" s="41"/>
      <c r="D399" s="41"/>
    </row>
    <row r="400">
      <c r="C400" s="41"/>
      <c r="D400" s="41"/>
    </row>
    <row r="401">
      <c r="C401" s="41"/>
      <c r="D401" s="41"/>
    </row>
    <row r="402">
      <c r="C402" s="41"/>
      <c r="D402" s="41"/>
    </row>
    <row r="403">
      <c r="C403" s="41"/>
      <c r="D403" s="41"/>
    </row>
    <row r="404">
      <c r="C404" s="41"/>
      <c r="D404" s="41"/>
    </row>
    <row r="405">
      <c r="C405" s="41"/>
      <c r="D405" s="41"/>
    </row>
    <row r="406">
      <c r="C406" s="41"/>
      <c r="D406" s="41"/>
    </row>
    <row r="407">
      <c r="C407" s="41"/>
      <c r="D407" s="41"/>
    </row>
    <row r="408">
      <c r="C408" s="41"/>
      <c r="D408" s="41"/>
    </row>
    <row r="409">
      <c r="C409" s="41"/>
      <c r="D409" s="41"/>
    </row>
    <row r="410">
      <c r="C410" s="41"/>
      <c r="D410" s="41"/>
    </row>
    <row r="411">
      <c r="C411" s="41"/>
      <c r="D411" s="41"/>
    </row>
    <row r="412">
      <c r="C412" s="41"/>
      <c r="D412" s="41"/>
    </row>
    <row r="413">
      <c r="C413" s="41"/>
      <c r="D413" s="41"/>
    </row>
    <row r="414">
      <c r="C414" s="41"/>
      <c r="D414" s="41"/>
    </row>
    <row r="415">
      <c r="C415" s="41"/>
      <c r="D415" s="41"/>
    </row>
    <row r="416">
      <c r="C416" s="41"/>
      <c r="D416" s="41"/>
    </row>
    <row r="417">
      <c r="C417" s="41"/>
      <c r="D417" s="41"/>
    </row>
    <row r="418">
      <c r="C418" s="41"/>
      <c r="D418" s="41"/>
    </row>
    <row r="419">
      <c r="C419" s="41"/>
      <c r="D419" s="41"/>
    </row>
    <row r="420">
      <c r="C420" s="41"/>
      <c r="D420" s="41"/>
    </row>
    <row r="421">
      <c r="C421" s="41"/>
      <c r="D421" s="41"/>
    </row>
    <row r="422">
      <c r="C422" s="41"/>
      <c r="D422" s="41"/>
    </row>
    <row r="423">
      <c r="C423" s="41"/>
      <c r="D423" s="41"/>
    </row>
    <row r="424">
      <c r="C424" s="41"/>
      <c r="D424" s="41"/>
    </row>
    <row r="425">
      <c r="C425" s="41"/>
      <c r="D425" s="41"/>
    </row>
    <row r="426">
      <c r="C426" s="41"/>
      <c r="D426" s="41"/>
    </row>
    <row r="427">
      <c r="C427" s="41"/>
      <c r="D427" s="41"/>
    </row>
    <row r="428">
      <c r="C428" s="41"/>
      <c r="D428" s="41"/>
    </row>
    <row r="429">
      <c r="C429" s="41"/>
      <c r="D429" s="41"/>
    </row>
    <row r="430">
      <c r="C430" s="41"/>
      <c r="D430" s="41"/>
    </row>
    <row r="431">
      <c r="C431" s="41"/>
      <c r="D431" s="41"/>
    </row>
    <row r="432">
      <c r="C432" s="41"/>
      <c r="D432" s="41"/>
    </row>
    <row r="433">
      <c r="C433" s="41"/>
      <c r="D433" s="41"/>
    </row>
    <row r="434">
      <c r="C434" s="41"/>
      <c r="D434" s="41"/>
    </row>
    <row r="435">
      <c r="C435" s="41"/>
      <c r="D435" s="41"/>
    </row>
    <row r="436">
      <c r="C436" s="41"/>
      <c r="D436" s="41"/>
    </row>
    <row r="437">
      <c r="C437" s="41"/>
      <c r="D437" s="41"/>
    </row>
    <row r="438">
      <c r="C438" s="41"/>
      <c r="D438" s="41"/>
    </row>
    <row r="439">
      <c r="C439" s="41"/>
      <c r="D439" s="41"/>
    </row>
    <row r="440">
      <c r="C440" s="41"/>
      <c r="D440" s="41"/>
    </row>
    <row r="441">
      <c r="C441" s="41"/>
      <c r="D441" s="41"/>
    </row>
    <row r="442">
      <c r="C442" s="41"/>
      <c r="D442" s="41"/>
    </row>
    <row r="443">
      <c r="C443" s="41"/>
      <c r="D443" s="41"/>
    </row>
    <row r="444">
      <c r="C444" s="41"/>
      <c r="D444" s="41"/>
    </row>
    <row r="445">
      <c r="C445" s="41"/>
      <c r="D445" s="41"/>
    </row>
    <row r="446">
      <c r="C446" s="41"/>
      <c r="D446" s="41"/>
    </row>
    <row r="447">
      <c r="C447" s="41"/>
      <c r="D447" s="41"/>
    </row>
    <row r="448">
      <c r="C448" s="41"/>
      <c r="D448" s="41"/>
    </row>
    <row r="449">
      <c r="C449" s="41"/>
      <c r="D449" s="41"/>
    </row>
    <row r="450">
      <c r="C450" s="41"/>
      <c r="D450" s="41"/>
    </row>
    <row r="451">
      <c r="C451" s="41"/>
      <c r="D451" s="41"/>
    </row>
    <row r="452">
      <c r="C452" s="41"/>
      <c r="D452" s="41"/>
    </row>
    <row r="453">
      <c r="C453" s="41"/>
      <c r="D453" s="41"/>
    </row>
    <row r="454">
      <c r="C454" s="41"/>
      <c r="D454" s="41"/>
    </row>
    <row r="455">
      <c r="C455" s="41"/>
      <c r="D455" s="41"/>
    </row>
    <row r="456">
      <c r="C456" s="41"/>
      <c r="D456" s="41"/>
    </row>
    <row r="457">
      <c r="C457" s="41"/>
      <c r="D457" s="41"/>
    </row>
    <row r="458">
      <c r="C458" s="41"/>
      <c r="D458" s="41"/>
    </row>
    <row r="459">
      <c r="C459" s="41"/>
      <c r="D459" s="41"/>
    </row>
    <row r="460">
      <c r="C460" s="41"/>
      <c r="D460" s="41"/>
    </row>
    <row r="461">
      <c r="C461" s="41"/>
      <c r="D461" s="41"/>
    </row>
    <row r="462">
      <c r="C462" s="41"/>
      <c r="D462" s="41"/>
    </row>
    <row r="463">
      <c r="C463" s="41"/>
      <c r="D463" s="41"/>
    </row>
    <row r="464">
      <c r="C464" s="41"/>
      <c r="D464" s="41"/>
    </row>
    <row r="465">
      <c r="C465" s="41"/>
      <c r="D465" s="41"/>
    </row>
    <row r="466">
      <c r="C466" s="41"/>
      <c r="D466" s="41"/>
    </row>
    <row r="467">
      <c r="C467" s="41"/>
      <c r="D467" s="41"/>
    </row>
    <row r="468">
      <c r="C468" s="41"/>
      <c r="D468" s="41"/>
    </row>
    <row r="469">
      <c r="C469" s="41"/>
      <c r="D469" s="41"/>
    </row>
    <row r="470">
      <c r="C470" s="41"/>
      <c r="D470" s="41"/>
    </row>
    <row r="471">
      <c r="C471" s="41"/>
      <c r="D471" s="41"/>
    </row>
    <row r="472">
      <c r="C472" s="41"/>
      <c r="D472" s="41"/>
    </row>
    <row r="473">
      <c r="C473" s="41"/>
      <c r="D473" s="41"/>
    </row>
    <row r="474">
      <c r="C474" s="41"/>
      <c r="D474" s="41"/>
    </row>
    <row r="475">
      <c r="C475" s="41"/>
      <c r="D475" s="41"/>
    </row>
    <row r="476">
      <c r="C476" s="41"/>
      <c r="D476" s="41"/>
    </row>
    <row r="477">
      <c r="C477" s="41"/>
      <c r="D477" s="41"/>
    </row>
    <row r="478">
      <c r="C478" s="41"/>
      <c r="D478" s="41"/>
    </row>
    <row r="479">
      <c r="C479" s="41"/>
      <c r="D479" s="41"/>
    </row>
    <row r="480">
      <c r="C480" s="41"/>
      <c r="D480" s="41"/>
    </row>
    <row r="481">
      <c r="C481" s="41"/>
      <c r="D481" s="41"/>
    </row>
    <row r="482">
      <c r="C482" s="41"/>
      <c r="D482" s="41"/>
    </row>
    <row r="483">
      <c r="C483" s="41"/>
      <c r="D483" s="41"/>
    </row>
    <row r="484">
      <c r="C484" s="41"/>
      <c r="D484" s="41"/>
    </row>
    <row r="485">
      <c r="C485" s="41"/>
      <c r="D485" s="41"/>
    </row>
    <row r="486">
      <c r="C486" s="41"/>
      <c r="D486" s="41"/>
    </row>
    <row r="487">
      <c r="C487" s="41"/>
      <c r="D487" s="41"/>
    </row>
    <row r="488">
      <c r="C488" s="41"/>
      <c r="D488" s="41"/>
    </row>
    <row r="489">
      <c r="C489" s="41"/>
      <c r="D489" s="41"/>
    </row>
    <row r="490">
      <c r="C490" s="41"/>
      <c r="D490" s="41"/>
    </row>
    <row r="491">
      <c r="C491" s="41"/>
      <c r="D491" s="41"/>
    </row>
    <row r="492">
      <c r="C492" s="41"/>
      <c r="D492" s="41"/>
    </row>
    <row r="493">
      <c r="C493" s="41"/>
      <c r="D493" s="41"/>
    </row>
    <row r="494">
      <c r="C494" s="41"/>
      <c r="D494" s="41"/>
    </row>
    <row r="495">
      <c r="C495" s="41"/>
      <c r="D495" s="41"/>
    </row>
    <row r="496">
      <c r="C496" s="41"/>
      <c r="D496" s="41"/>
    </row>
    <row r="497">
      <c r="C497" s="41"/>
      <c r="D497" s="41"/>
    </row>
    <row r="498">
      <c r="C498" s="41"/>
      <c r="D498" s="41"/>
    </row>
    <row r="499">
      <c r="C499" s="41"/>
      <c r="D499" s="41"/>
    </row>
    <row r="500">
      <c r="C500" s="41"/>
      <c r="D500" s="41"/>
    </row>
    <row r="501">
      <c r="C501" s="41"/>
      <c r="D501" s="41"/>
    </row>
    <row r="502">
      <c r="C502" s="41"/>
      <c r="D502" s="41"/>
    </row>
    <row r="503">
      <c r="C503" s="41"/>
      <c r="D503" s="41"/>
    </row>
    <row r="504">
      <c r="C504" s="41"/>
      <c r="D504" s="41"/>
    </row>
    <row r="505">
      <c r="C505" s="41"/>
      <c r="D505" s="41"/>
    </row>
    <row r="506">
      <c r="C506" s="41"/>
      <c r="D506" s="41"/>
    </row>
    <row r="507">
      <c r="C507" s="41"/>
      <c r="D507" s="41"/>
    </row>
    <row r="508">
      <c r="C508" s="41"/>
      <c r="D508" s="41"/>
    </row>
    <row r="509">
      <c r="C509" s="41"/>
      <c r="D509" s="41"/>
    </row>
    <row r="510">
      <c r="C510" s="41"/>
      <c r="D510" s="41"/>
    </row>
    <row r="511">
      <c r="C511" s="41"/>
      <c r="D511" s="41"/>
    </row>
    <row r="512">
      <c r="C512" s="41"/>
      <c r="D512" s="41"/>
    </row>
    <row r="513">
      <c r="C513" s="41"/>
      <c r="D513" s="41"/>
    </row>
    <row r="514">
      <c r="C514" s="41"/>
      <c r="D514" s="41"/>
    </row>
    <row r="515">
      <c r="C515" s="41"/>
      <c r="D515" s="41"/>
    </row>
    <row r="516">
      <c r="C516" s="41"/>
      <c r="D516" s="41"/>
    </row>
    <row r="517">
      <c r="C517" s="41"/>
      <c r="D517" s="41"/>
    </row>
    <row r="518">
      <c r="C518" s="41"/>
      <c r="D518" s="41"/>
    </row>
    <row r="519">
      <c r="C519" s="41"/>
      <c r="D519" s="41"/>
    </row>
    <row r="520">
      <c r="C520" s="41"/>
      <c r="D520" s="41"/>
    </row>
    <row r="521">
      <c r="C521" s="41"/>
      <c r="D521" s="41"/>
    </row>
    <row r="522">
      <c r="C522" s="41"/>
      <c r="D522" s="41"/>
    </row>
    <row r="523">
      <c r="C523" s="41"/>
      <c r="D523" s="41"/>
    </row>
    <row r="524">
      <c r="C524" s="41"/>
      <c r="D524" s="41"/>
    </row>
    <row r="525">
      <c r="C525" s="41"/>
      <c r="D525" s="41"/>
    </row>
    <row r="526">
      <c r="C526" s="41"/>
      <c r="D526" s="41"/>
    </row>
    <row r="527">
      <c r="C527" s="41"/>
      <c r="D527" s="41"/>
    </row>
    <row r="528">
      <c r="C528" s="41"/>
      <c r="D528" s="41"/>
    </row>
    <row r="529">
      <c r="C529" s="41"/>
      <c r="D529" s="41"/>
    </row>
    <row r="530">
      <c r="C530" s="41"/>
      <c r="D530" s="41"/>
    </row>
    <row r="531">
      <c r="C531" s="41"/>
      <c r="D531" s="41"/>
    </row>
    <row r="532">
      <c r="C532" s="41"/>
      <c r="D532" s="41"/>
    </row>
    <row r="533">
      <c r="C533" s="41"/>
      <c r="D533" s="41"/>
    </row>
    <row r="534">
      <c r="C534" s="41"/>
      <c r="D534" s="41"/>
    </row>
    <row r="535">
      <c r="C535" s="41"/>
      <c r="D535" s="41"/>
    </row>
    <row r="536">
      <c r="C536" s="41"/>
      <c r="D536" s="41"/>
    </row>
    <row r="537">
      <c r="C537" s="41"/>
      <c r="D537" s="41"/>
    </row>
    <row r="538">
      <c r="C538" s="41"/>
      <c r="D538" s="41"/>
    </row>
    <row r="539">
      <c r="C539" s="41"/>
      <c r="D539" s="41"/>
    </row>
    <row r="540">
      <c r="C540" s="41"/>
      <c r="D540" s="41"/>
    </row>
    <row r="541">
      <c r="C541" s="41"/>
      <c r="D541" s="41"/>
    </row>
    <row r="542">
      <c r="C542" s="41"/>
      <c r="D542" s="41"/>
    </row>
    <row r="543">
      <c r="C543" s="41"/>
      <c r="D543" s="41"/>
    </row>
    <row r="544">
      <c r="C544" s="41"/>
      <c r="D544" s="41"/>
    </row>
    <row r="545">
      <c r="C545" s="41"/>
      <c r="D545" s="41"/>
    </row>
    <row r="546">
      <c r="C546" s="41"/>
      <c r="D546" s="41"/>
    </row>
    <row r="547">
      <c r="C547" s="41"/>
      <c r="D547" s="41"/>
    </row>
    <row r="548">
      <c r="C548" s="41"/>
      <c r="D548" s="41"/>
    </row>
    <row r="549">
      <c r="C549" s="41"/>
      <c r="D549" s="41"/>
    </row>
    <row r="550">
      <c r="C550" s="41"/>
      <c r="D550" s="41"/>
    </row>
    <row r="551">
      <c r="C551" s="41"/>
      <c r="D551" s="41"/>
    </row>
    <row r="552">
      <c r="C552" s="41"/>
      <c r="D552" s="41"/>
    </row>
    <row r="553">
      <c r="C553" s="41"/>
      <c r="D553" s="41"/>
    </row>
    <row r="554">
      <c r="C554" s="41"/>
      <c r="D554" s="41"/>
    </row>
    <row r="555">
      <c r="C555" s="41"/>
      <c r="D555" s="41"/>
    </row>
    <row r="556">
      <c r="C556" s="41"/>
      <c r="D556" s="41"/>
    </row>
    <row r="557">
      <c r="C557" s="41"/>
      <c r="D557" s="41"/>
    </row>
    <row r="558">
      <c r="C558" s="41"/>
      <c r="D558" s="41"/>
    </row>
    <row r="559">
      <c r="C559" s="41"/>
      <c r="D559" s="41"/>
    </row>
    <row r="560">
      <c r="C560" s="41"/>
      <c r="D560" s="41"/>
    </row>
    <row r="561">
      <c r="C561" s="41"/>
      <c r="D561" s="41"/>
    </row>
    <row r="562">
      <c r="C562" s="41"/>
      <c r="D562" s="41"/>
    </row>
    <row r="563">
      <c r="C563" s="41"/>
      <c r="D563" s="41"/>
    </row>
    <row r="564">
      <c r="C564" s="41"/>
      <c r="D564" s="41"/>
    </row>
    <row r="565">
      <c r="C565" s="41"/>
      <c r="D565" s="41"/>
    </row>
    <row r="566">
      <c r="C566" s="41"/>
      <c r="D566" s="41"/>
    </row>
    <row r="567">
      <c r="C567" s="41"/>
      <c r="D567" s="41"/>
    </row>
    <row r="568">
      <c r="C568" s="41"/>
      <c r="D568" s="41"/>
    </row>
    <row r="569">
      <c r="C569" s="41"/>
      <c r="D569" s="41"/>
    </row>
    <row r="570">
      <c r="C570" s="41"/>
      <c r="D570" s="41"/>
    </row>
    <row r="571">
      <c r="C571" s="41"/>
      <c r="D571" s="41"/>
    </row>
    <row r="572">
      <c r="C572" s="41"/>
      <c r="D572" s="41"/>
    </row>
    <row r="573">
      <c r="C573" s="41"/>
      <c r="D573" s="41"/>
    </row>
    <row r="574">
      <c r="C574" s="41"/>
      <c r="D574" s="41"/>
    </row>
    <row r="575">
      <c r="C575" s="41"/>
      <c r="D575" s="41"/>
    </row>
    <row r="576">
      <c r="C576" s="41"/>
      <c r="D576" s="41"/>
    </row>
    <row r="577">
      <c r="C577" s="41"/>
      <c r="D577" s="41"/>
    </row>
    <row r="578">
      <c r="C578" s="41"/>
      <c r="D578" s="41"/>
    </row>
    <row r="579">
      <c r="C579" s="41"/>
      <c r="D579" s="41"/>
    </row>
    <row r="580">
      <c r="C580" s="41"/>
      <c r="D580" s="41"/>
    </row>
    <row r="581">
      <c r="C581" s="41"/>
      <c r="D581" s="41"/>
    </row>
    <row r="582">
      <c r="C582" s="41"/>
      <c r="D582" s="41"/>
    </row>
    <row r="583">
      <c r="C583" s="41"/>
      <c r="D583" s="41"/>
    </row>
    <row r="584">
      <c r="C584" s="41"/>
      <c r="D584" s="41"/>
    </row>
    <row r="585">
      <c r="C585" s="41"/>
      <c r="D585" s="41"/>
    </row>
    <row r="586">
      <c r="C586" s="41"/>
      <c r="D586" s="41"/>
    </row>
    <row r="587">
      <c r="C587" s="41"/>
      <c r="D587" s="41"/>
    </row>
    <row r="588">
      <c r="C588" s="41"/>
      <c r="D588" s="41"/>
    </row>
    <row r="589">
      <c r="C589" s="41"/>
      <c r="D589" s="41"/>
    </row>
    <row r="590">
      <c r="C590" s="41"/>
      <c r="D590" s="41"/>
    </row>
    <row r="591">
      <c r="C591" s="41"/>
      <c r="D591" s="41"/>
    </row>
    <row r="592">
      <c r="C592" s="41"/>
      <c r="D592" s="41"/>
    </row>
    <row r="593">
      <c r="C593" s="41"/>
      <c r="D593" s="41"/>
    </row>
    <row r="594">
      <c r="C594" s="41"/>
      <c r="D594" s="41"/>
    </row>
    <row r="595">
      <c r="C595" s="41"/>
      <c r="D595" s="41"/>
    </row>
    <row r="596">
      <c r="C596" s="41"/>
      <c r="D596" s="41"/>
    </row>
    <row r="597">
      <c r="C597" s="41"/>
      <c r="D597" s="41"/>
    </row>
    <row r="598">
      <c r="C598" s="41"/>
      <c r="D598" s="41"/>
    </row>
    <row r="599">
      <c r="C599" s="41"/>
      <c r="D599" s="41"/>
    </row>
    <row r="600">
      <c r="C600" s="41"/>
      <c r="D600" s="41"/>
    </row>
    <row r="601">
      <c r="C601" s="41"/>
      <c r="D601" s="41"/>
    </row>
    <row r="602">
      <c r="C602" s="41"/>
      <c r="D602" s="41"/>
    </row>
    <row r="603">
      <c r="C603" s="41"/>
      <c r="D603" s="41"/>
    </row>
    <row r="604">
      <c r="C604" s="41"/>
      <c r="D604" s="41"/>
    </row>
    <row r="605">
      <c r="C605" s="41"/>
      <c r="D605" s="41"/>
    </row>
    <row r="606">
      <c r="C606" s="41"/>
      <c r="D606" s="41"/>
    </row>
    <row r="607">
      <c r="C607" s="41"/>
      <c r="D607" s="41"/>
    </row>
    <row r="608">
      <c r="C608" s="41"/>
      <c r="D608" s="41"/>
    </row>
    <row r="609">
      <c r="C609" s="41"/>
      <c r="D609" s="41"/>
    </row>
    <row r="610">
      <c r="C610" s="41"/>
      <c r="D610" s="41"/>
    </row>
    <row r="611">
      <c r="C611" s="41"/>
      <c r="D611" s="41"/>
    </row>
    <row r="612">
      <c r="C612" s="41"/>
      <c r="D612" s="41"/>
    </row>
    <row r="613">
      <c r="C613" s="41"/>
      <c r="D613" s="41"/>
    </row>
    <row r="614">
      <c r="C614" s="41"/>
      <c r="D614" s="41"/>
    </row>
    <row r="615">
      <c r="C615" s="41"/>
      <c r="D615" s="41"/>
    </row>
    <row r="616">
      <c r="C616" s="41"/>
      <c r="D616" s="41"/>
    </row>
    <row r="617">
      <c r="C617" s="41"/>
      <c r="D617" s="41"/>
    </row>
    <row r="618">
      <c r="C618" s="41"/>
      <c r="D618" s="41"/>
    </row>
    <row r="619">
      <c r="C619" s="41"/>
      <c r="D619" s="41"/>
    </row>
    <row r="620">
      <c r="C620" s="41"/>
      <c r="D620" s="41"/>
    </row>
    <row r="621">
      <c r="C621" s="41"/>
      <c r="D621" s="41"/>
    </row>
    <row r="622">
      <c r="C622" s="41"/>
      <c r="D622" s="41"/>
    </row>
    <row r="623">
      <c r="C623" s="41"/>
      <c r="D623" s="41"/>
    </row>
    <row r="624">
      <c r="C624" s="41"/>
      <c r="D624" s="41"/>
    </row>
    <row r="625">
      <c r="C625" s="41"/>
      <c r="D625" s="41"/>
    </row>
    <row r="626">
      <c r="C626" s="41"/>
      <c r="D626" s="41"/>
    </row>
    <row r="627">
      <c r="C627" s="41"/>
      <c r="D627" s="41"/>
    </row>
    <row r="628">
      <c r="C628" s="41"/>
      <c r="D628" s="41"/>
    </row>
    <row r="629">
      <c r="C629" s="41"/>
      <c r="D629" s="41"/>
    </row>
    <row r="630">
      <c r="C630" s="41"/>
      <c r="D630" s="41"/>
    </row>
    <row r="631">
      <c r="C631" s="41"/>
      <c r="D631" s="41"/>
    </row>
    <row r="632">
      <c r="C632" s="41"/>
      <c r="D632" s="41"/>
    </row>
    <row r="633">
      <c r="C633" s="41"/>
      <c r="D633" s="41"/>
    </row>
    <row r="634">
      <c r="C634" s="41"/>
      <c r="D634" s="41"/>
    </row>
    <row r="635">
      <c r="C635" s="41"/>
      <c r="D635" s="41"/>
    </row>
    <row r="636">
      <c r="C636" s="41"/>
      <c r="D636" s="41"/>
    </row>
    <row r="637">
      <c r="C637" s="41"/>
      <c r="D637" s="41"/>
    </row>
    <row r="638">
      <c r="C638" s="41"/>
      <c r="D638" s="41"/>
    </row>
    <row r="639">
      <c r="C639" s="41"/>
      <c r="D639" s="41"/>
    </row>
    <row r="640">
      <c r="C640" s="41"/>
      <c r="D640" s="41"/>
    </row>
    <row r="641">
      <c r="C641" s="41"/>
      <c r="D641" s="41"/>
    </row>
    <row r="642">
      <c r="C642" s="41"/>
      <c r="D642" s="41"/>
    </row>
    <row r="643">
      <c r="C643" s="41"/>
      <c r="D643" s="41"/>
    </row>
    <row r="644">
      <c r="C644" s="41"/>
      <c r="D644" s="41"/>
    </row>
    <row r="645">
      <c r="C645" s="41"/>
      <c r="D645" s="41"/>
    </row>
    <row r="646">
      <c r="C646" s="41"/>
      <c r="D646" s="41"/>
    </row>
    <row r="647">
      <c r="C647" s="41"/>
      <c r="D647" s="41"/>
    </row>
    <row r="648">
      <c r="C648" s="41"/>
      <c r="D648" s="41"/>
    </row>
    <row r="649">
      <c r="C649" s="41"/>
      <c r="D649" s="41"/>
    </row>
    <row r="650">
      <c r="C650" s="41"/>
      <c r="D650" s="41"/>
    </row>
    <row r="651">
      <c r="C651" s="41"/>
      <c r="D651" s="41"/>
    </row>
    <row r="652">
      <c r="C652" s="41"/>
      <c r="D652" s="41"/>
    </row>
    <row r="653">
      <c r="C653" s="41"/>
      <c r="D653" s="41"/>
    </row>
    <row r="654">
      <c r="C654" s="41"/>
      <c r="D654" s="41"/>
    </row>
    <row r="655">
      <c r="C655" s="41"/>
      <c r="D655" s="41"/>
    </row>
    <row r="656">
      <c r="C656" s="41"/>
      <c r="D656" s="41"/>
    </row>
    <row r="657">
      <c r="C657" s="41"/>
      <c r="D657" s="41"/>
    </row>
    <row r="658">
      <c r="C658" s="41"/>
      <c r="D658" s="41"/>
    </row>
    <row r="659">
      <c r="C659" s="41"/>
      <c r="D659" s="41"/>
    </row>
    <row r="660">
      <c r="C660" s="41"/>
      <c r="D660" s="41"/>
    </row>
    <row r="661">
      <c r="C661" s="41"/>
      <c r="D661" s="41"/>
    </row>
    <row r="662">
      <c r="C662" s="41"/>
      <c r="D662" s="41"/>
    </row>
    <row r="663">
      <c r="C663" s="41"/>
      <c r="D663" s="41"/>
    </row>
    <row r="664">
      <c r="C664" s="41"/>
      <c r="D664" s="41"/>
    </row>
    <row r="665">
      <c r="C665" s="41"/>
      <c r="D665" s="41"/>
    </row>
    <row r="666">
      <c r="C666" s="41"/>
      <c r="D666" s="41"/>
    </row>
    <row r="667">
      <c r="C667" s="41"/>
      <c r="D667" s="41"/>
    </row>
    <row r="668">
      <c r="C668" s="41"/>
      <c r="D668" s="41"/>
    </row>
    <row r="669">
      <c r="C669" s="41"/>
      <c r="D669" s="41"/>
    </row>
    <row r="670">
      <c r="C670" s="41"/>
      <c r="D670" s="41"/>
    </row>
    <row r="671">
      <c r="C671" s="41"/>
      <c r="D671" s="41"/>
    </row>
    <row r="672">
      <c r="C672" s="41"/>
      <c r="D672" s="41"/>
    </row>
    <row r="673">
      <c r="C673" s="41"/>
      <c r="D673" s="41"/>
    </row>
    <row r="674">
      <c r="C674" s="41"/>
      <c r="D674" s="41"/>
    </row>
    <row r="675">
      <c r="C675" s="41"/>
      <c r="D675" s="41"/>
    </row>
    <row r="676">
      <c r="C676" s="41"/>
      <c r="D676" s="41"/>
    </row>
    <row r="677">
      <c r="C677" s="41"/>
      <c r="D677" s="41"/>
    </row>
    <row r="678">
      <c r="C678" s="41"/>
      <c r="D678" s="41"/>
    </row>
    <row r="679">
      <c r="C679" s="41"/>
      <c r="D679" s="41"/>
    </row>
    <row r="680">
      <c r="C680" s="41"/>
      <c r="D680" s="41"/>
    </row>
    <row r="681">
      <c r="C681" s="41"/>
      <c r="D681" s="41"/>
    </row>
    <row r="682">
      <c r="C682" s="41"/>
      <c r="D682" s="41"/>
    </row>
    <row r="683">
      <c r="C683" s="41"/>
      <c r="D683" s="41"/>
    </row>
    <row r="684">
      <c r="C684" s="41"/>
      <c r="D684" s="41"/>
    </row>
    <row r="685">
      <c r="C685" s="41"/>
      <c r="D685" s="41"/>
    </row>
    <row r="686">
      <c r="C686" s="41"/>
      <c r="D686" s="41"/>
    </row>
    <row r="687">
      <c r="C687" s="41"/>
      <c r="D687" s="41"/>
    </row>
    <row r="688">
      <c r="C688" s="41"/>
      <c r="D688" s="41"/>
    </row>
    <row r="689">
      <c r="C689" s="41"/>
      <c r="D689" s="41"/>
    </row>
    <row r="690">
      <c r="C690" s="41"/>
      <c r="D690" s="41"/>
    </row>
    <row r="691">
      <c r="C691" s="41"/>
      <c r="D691" s="41"/>
    </row>
    <row r="692">
      <c r="C692" s="41"/>
      <c r="D692" s="41"/>
    </row>
    <row r="693">
      <c r="C693" s="41"/>
      <c r="D693" s="41"/>
    </row>
    <row r="694">
      <c r="C694" s="41"/>
      <c r="D694" s="41"/>
    </row>
    <row r="695">
      <c r="C695" s="41"/>
      <c r="D695" s="41"/>
    </row>
    <row r="696">
      <c r="C696" s="41"/>
      <c r="D696" s="41"/>
    </row>
    <row r="697">
      <c r="C697" s="41"/>
      <c r="D697" s="41"/>
    </row>
    <row r="698">
      <c r="C698" s="41"/>
      <c r="D698" s="41"/>
    </row>
    <row r="699">
      <c r="C699" s="41"/>
      <c r="D699" s="41"/>
    </row>
    <row r="700">
      <c r="C700" s="41"/>
      <c r="D700" s="41"/>
    </row>
    <row r="701">
      <c r="C701" s="41"/>
      <c r="D701" s="41"/>
    </row>
    <row r="702">
      <c r="C702" s="41"/>
      <c r="D702" s="41"/>
    </row>
    <row r="703">
      <c r="C703" s="41"/>
      <c r="D703" s="41"/>
    </row>
    <row r="704">
      <c r="C704" s="41"/>
      <c r="D704" s="41"/>
    </row>
    <row r="705">
      <c r="C705" s="41"/>
      <c r="D705" s="41"/>
    </row>
    <row r="706">
      <c r="C706" s="41"/>
      <c r="D706" s="41"/>
    </row>
    <row r="707">
      <c r="C707" s="41"/>
      <c r="D707" s="41"/>
    </row>
    <row r="708">
      <c r="C708" s="41"/>
      <c r="D708" s="41"/>
    </row>
    <row r="709">
      <c r="C709" s="41"/>
      <c r="D709" s="41"/>
    </row>
    <row r="710">
      <c r="C710" s="41"/>
      <c r="D710" s="41"/>
    </row>
    <row r="711">
      <c r="C711" s="41"/>
      <c r="D711" s="41"/>
    </row>
    <row r="712">
      <c r="C712" s="41"/>
      <c r="D712" s="41"/>
    </row>
    <row r="713">
      <c r="C713" s="41"/>
      <c r="D713" s="41"/>
    </row>
    <row r="714">
      <c r="C714" s="41"/>
      <c r="D714" s="41"/>
    </row>
    <row r="715">
      <c r="C715" s="41"/>
      <c r="D715" s="41"/>
    </row>
    <row r="716">
      <c r="C716" s="41"/>
      <c r="D716" s="41"/>
    </row>
    <row r="717">
      <c r="C717" s="41"/>
      <c r="D717" s="41"/>
    </row>
    <row r="718">
      <c r="C718" s="41"/>
      <c r="D718" s="41"/>
    </row>
    <row r="719">
      <c r="C719" s="41"/>
      <c r="D719" s="41"/>
    </row>
    <row r="720">
      <c r="C720" s="41"/>
      <c r="D720" s="41"/>
    </row>
    <row r="721">
      <c r="C721" s="41"/>
      <c r="D721" s="41"/>
    </row>
    <row r="722">
      <c r="C722" s="41"/>
      <c r="D722" s="41"/>
    </row>
    <row r="723">
      <c r="C723" s="41"/>
      <c r="D723" s="41"/>
    </row>
    <row r="724">
      <c r="C724" s="41"/>
      <c r="D724" s="41"/>
    </row>
    <row r="725">
      <c r="C725" s="41"/>
      <c r="D725" s="41"/>
    </row>
    <row r="726">
      <c r="C726" s="41"/>
      <c r="D726" s="41"/>
    </row>
    <row r="727">
      <c r="C727" s="41"/>
      <c r="D727" s="41"/>
    </row>
    <row r="728">
      <c r="C728" s="41"/>
      <c r="D728" s="41"/>
    </row>
    <row r="729">
      <c r="C729" s="41"/>
      <c r="D729" s="41"/>
    </row>
    <row r="730">
      <c r="C730" s="41"/>
      <c r="D730" s="41"/>
    </row>
    <row r="731">
      <c r="C731" s="41"/>
      <c r="D731" s="41"/>
    </row>
    <row r="732">
      <c r="C732" s="41"/>
      <c r="D732" s="41"/>
    </row>
    <row r="733">
      <c r="C733" s="41"/>
      <c r="D733" s="41"/>
    </row>
    <row r="734">
      <c r="C734" s="41"/>
      <c r="D734" s="41"/>
    </row>
    <row r="735">
      <c r="C735" s="41"/>
      <c r="D735" s="41"/>
    </row>
    <row r="736">
      <c r="C736" s="41"/>
      <c r="D736" s="41"/>
    </row>
    <row r="737">
      <c r="C737" s="41"/>
      <c r="D737" s="41"/>
    </row>
    <row r="738">
      <c r="C738" s="41"/>
      <c r="D738" s="41"/>
    </row>
    <row r="739">
      <c r="C739" s="41"/>
      <c r="D739" s="41"/>
    </row>
    <row r="740">
      <c r="C740" s="41"/>
      <c r="D740" s="41"/>
    </row>
    <row r="741">
      <c r="C741" s="41"/>
      <c r="D741" s="41"/>
    </row>
    <row r="742">
      <c r="C742" s="41"/>
      <c r="D742" s="41"/>
    </row>
    <row r="743">
      <c r="C743" s="41"/>
      <c r="D743" s="41"/>
    </row>
    <row r="744">
      <c r="C744" s="41"/>
      <c r="D744" s="41"/>
    </row>
    <row r="745">
      <c r="C745" s="41"/>
      <c r="D745" s="41"/>
    </row>
    <row r="746">
      <c r="C746" s="41"/>
      <c r="D746" s="41"/>
    </row>
    <row r="747">
      <c r="C747" s="41"/>
      <c r="D747" s="41"/>
    </row>
    <row r="748">
      <c r="C748" s="41"/>
      <c r="D748" s="41"/>
    </row>
    <row r="749">
      <c r="C749" s="41"/>
      <c r="D749" s="41"/>
    </row>
    <row r="750">
      <c r="C750" s="41"/>
      <c r="D750" s="41"/>
    </row>
    <row r="751">
      <c r="C751" s="41"/>
      <c r="D751" s="41"/>
    </row>
    <row r="752">
      <c r="C752" s="41"/>
      <c r="D752" s="41"/>
    </row>
    <row r="753">
      <c r="C753" s="41"/>
      <c r="D753" s="41"/>
    </row>
    <row r="754">
      <c r="C754" s="41"/>
      <c r="D754" s="41"/>
    </row>
    <row r="755">
      <c r="C755" s="41"/>
      <c r="D755" s="41"/>
    </row>
    <row r="756">
      <c r="C756" s="41"/>
      <c r="D756" s="41"/>
    </row>
    <row r="757">
      <c r="C757" s="41"/>
      <c r="D757" s="41"/>
    </row>
    <row r="758">
      <c r="C758" s="41"/>
      <c r="D758" s="41"/>
    </row>
    <row r="759">
      <c r="C759" s="41"/>
      <c r="D759" s="41"/>
    </row>
    <row r="760">
      <c r="C760" s="41"/>
      <c r="D760" s="41"/>
    </row>
    <row r="761">
      <c r="C761" s="41"/>
      <c r="D761" s="41"/>
    </row>
    <row r="762">
      <c r="C762" s="41"/>
      <c r="D762" s="41"/>
    </row>
    <row r="763">
      <c r="C763" s="41"/>
      <c r="D763" s="41"/>
    </row>
    <row r="764">
      <c r="C764" s="41"/>
      <c r="D764" s="41"/>
    </row>
    <row r="765">
      <c r="C765" s="41"/>
      <c r="D765" s="41"/>
    </row>
    <row r="766">
      <c r="C766" s="41"/>
      <c r="D766" s="41"/>
    </row>
    <row r="767">
      <c r="C767" s="41"/>
      <c r="D767" s="41"/>
    </row>
    <row r="768">
      <c r="C768" s="41"/>
      <c r="D768" s="41"/>
    </row>
    <row r="769">
      <c r="C769" s="41"/>
      <c r="D769" s="41"/>
    </row>
    <row r="770">
      <c r="C770" s="41"/>
      <c r="D770" s="41"/>
    </row>
    <row r="771">
      <c r="C771" s="41"/>
      <c r="D771" s="41"/>
    </row>
    <row r="772">
      <c r="C772" s="41"/>
      <c r="D772" s="41"/>
    </row>
    <row r="773">
      <c r="C773" s="41"/>
      <c r="D773" s="41"/>
    </row>
    <row r="774">
      <c r="C774" s="41"/>
      <c r="D774" s="41"/>
    </row>
    <row r="775">
      <c r="C775" s="41"/>
      <c r="D775" s="41"/>
    </row>
    <row r="776">
      <c r="C776" s="41"/>
      <c r="D776" s="41"/>
    </row>
    <row r="777">
      <c r="C777" s="41"/>
      <c r="D777" s="41"/>
    </row>
    <row r="778">
      <c r="C778" s="41"/>
      <c r="D778" s="41"/>
    </row>
    <row r="779">
      <c r="C779" s="41"/>
      <c r="D779" s="41"/>
    </row>
    <row r="780">
      <c r="C780" s="41"/>
      <c r="D780" s="41"/>
    </row>
    <row r="781">
      <c r="C781" s="41"/>
      <c r="D781" s="41"/>
    </row>
    <row r="782">
      <c r="C782" s="41"/>
      <c r="D782" s="41"/>
    </row>
    <row r="783">
      <c r="C783" s="41"/>
      <c r="D783" s="41"/>
    </row>
    <row r="784">
      <c r="C784" s="41"/>
      <c r="D784" s="41"/>
    </row>
    <row r="785">
      <c r="C785" s="41"/>
      <c r="D785" s="41"/>
    </row>
    <row r="786">
      <c r="C786" s="41"/>
      <c r="D786" s="41"/>
    </row>
    <row r="787">
      <c r="C787" s="41"/>
      <c r="D787" s="41"/>
    </row>
    <row r="788">
      <c r="C788" s="41"/>
      <c r="D788" s="41"/>
    </row>
    <row r="789">
      <c r="C789" s="41"/>
      <c r="D789" s="41"/>
    </row>
    <row r="790">
      <c r="C790" s="41"/>
      <c r="D790" s="41"/>
    </row>
    <row r="791">
      <c r="C791" s="41"/>
      <c r="D791" s="41"/>
    </row>
    <row r="792">
      <c r="C792" s="41"/>
      <c r="D792" s="41"/>
    </row>
    <row r="793">
      <c r="C793" s="41"/>
      <c r="D793" s="41"/>
    </row>
    <row r="794">
      <c r="C794" s="41"/>
      <c r="D794" s="41"/>
    </row>
    <row r="795">
      <c r="C795" s="41"/>
      <c r="D795" s="41"/>
    </row>
    <row r="796">
      <c r="C796" s="41"/>
      <c r="D796" s="41"/>
    </row>
    <row r="797">
      <c r="C797" s="41"/>
      <c r="D797" s="41"/>
    </row>
    <row r="798">
      <c r="C798" s="41"/>
      <c r="D798" s="41"/>
    </row>
    <row r="799">
      <c r="C799" s="41"/>
      <c r="D799" s="41"/>
    </row>
    <row r="800">
      <c r="C800" s="41"/>
      <c r="D800" s="41"/>
    </row>
    <row r="801">
      <c r="C801" s="41"/>
      <c r="D801" s="41"/>
    </row>
    <row r="802">
      <c r="C802" s="41"/>
      <c r="D802" s="41"/>
    </row>
    <row r="803">
      <c r="C803" s="41"/>
      <c r="D803" s="41"/>
    </row>
    <row r="804">
      <c r="C804" s="41"/>
      <c r="D804" s="41"/>
    </row>
    <row r="805">
      <c r="C805" s="41"/>
      <c r="D805" s="41"/>
    </row>
    <row r="806">
      <c r="C806" s="41"/>
      <c r="D806" s="41"/>
    </row>
    <row r="807">
      <c r="C807" s="41"/>
      <c r="D807" s="41"/>
    </row>
    <row r="808">
      <c r="C808" s="41"/>
      <c r="D808" s="41"/>
    </row>
    <row r="809">
      <c r="C809" s="41"/>
      <c r="D809" s="41"/>
    </row>
    <row r="810">
      <c r="C810" s="41"/>
      <c r="D810" s="41"/>
    </row>
    <row r="811">
      <c r="C811" s="41"/>
      <c r="D811" s="41"/>
    </row>
    <row r="812">
      <c r="C812" s="41"/>
      <c r="D812" s="41"/>
    </row>
    <row r="813">
      <c r="C813" s="41"/>
      <c r="D813" s="41"/>
    </row>
    <row r="814">
      <c r="C814" s="41"/>
      <c r="D814" s="41"/>
    </row>
    <row r="815">
      <c r="C815" s="41"/>
      <c r="D815" s="41"/>
    </row>
    <row r="816">
      <c r="C816" s="41"/>
      <c r="D816" s="41"/>
    </row>
    <row r="817">
      <c r="C817" s="41"/>
      <c r="D817" s="41"/>
    </row>
    <row r="818">
      <c r="C818" s="41"/>
      <c r="D818" s="41"/>
    </row>
    <row r="819">
      <c r="C819" s="41"/>
      <c r="D819" s="41"/>
    </row>
    <row r="820">
      <c r="C820" s="41"/>
      <c r="D820" s="41"/>
    </row>
    <row r="821">
      <c r="C821" s="41"/>
      <c r="D821" s="41"/>
    </row>
    <row r="822">
      <c r="C822" s="41"/>
      <c r="D822" s="41"/>
    </row>
    <row r="823">
      <c r="C823" s="41"/>
      <c r="D823" s="41"/>
    </row>
    <row r="824">
      <c r="C824" s="41"/>
      <c r="D824" s="41"/>
    </row>
    <row r="825">
      <c r="C825" s="41"/>
      <c r="D825" s="41"/>
    </row>
    <row r="826">
      <c r="C826" s="41"/>
      <c r="D826" s="41"/>
    </row>
    <row r="827">
      <c r="C827" s="41"/>
      <c r="D827" s="41"/>
    </row>
    <row r="828">
      <c r="C828" s="41"/>
      <c r="D828" s="41"/>
    </row>
    <row r="829">
      <c r="C829" s="41"/>
      <c r="D829" s="41"/>
    </row>
    <row r="830">
      <c r="C830" s="41"/>
      <c r="D830" s="41"/>
    </row>
    <row r="831">
      <c r="C831" s="41"/>
      <c r="D831" s="41"/>
    </row>
    <row r="832">
      <c r="C832" s="41"/>
      <c r="D832" s="41"/>
    </row>
    <row r="833">
      <c r="C833" s="41"/>
      <c r="D833" s="41"/>
    </row>
    <row r="834">
      <c r="C834" s="41"/>
      <c r="D834" s="41"/>
    </row>
    <row r="835">
      <c r="C835" s="41"/>
      <c r="D835" s="41"/>
    </row>
    <row r="836">
      <c r="C836" s="41"/>
      <c r="D836" s="41"/>
    </row>
    <row r="837">
      <c r="C837" s="41"/>
      <c r="D837" s="41"/>
    </row>
    <row r="838">
      <c r="C838" s="41"/>
      <c r="D838" s="41"/>
    </row>
    <row r="839">
      <c r="C839" s="41"/>
      <c r="D839" s="41"/>
    </row>
    <row r="840">
      <c r="C840" s="41"/>
      <c r="D840" s="41"/>
    </row>
    <row r="841">
      <c r="C841" s="41"/>
      <c r="D841" s="41"/>
    </row>
    <row r="842">
      <c r="C842" s="41"/>
      <c r="D842" s="41"/>
    </row>
    <row r="843">
      <c r="C843" s="41"/>
      <c r="D843" s="41"/>
    </row>
    <row r="844">
      <c r="C844" s="41"/>
      <c r="D844" s="41"/>
    </row>
    <row r="845">
      <c r="C845" s="41"/>
      <c r="D845" s="41"/>
    </row>
    <row r="846">
      <c r="C846" s="41"/>
      <c r="D846" s="41"/>
    </row>
    <row r="847">
      <c r="C847" s="41"/>
      <c r="D847" s="41"/>
    </row>
    <row r="848">
      <c r="C848" s="41"/>
      <c r="D848" s="41"/>
    </row>
    <row r="849">
      <c r="C849" s="41"/>
      <c r="D849" s="41"/>
    </row>
    <row r="850">
      <c r="C850" s="41"/>
      <c r="D850" s="41"/>
    </row>
    <row r="851">
      <c r="C851" s="41"/>
      <c r="D851" s="41"/>
    </row>
    <row r="852">
      <c r="C852" s="41"/>
      <c r="D852" s="41"/>
    </row>
    <row r="853">
      <c r="C853" s="41"/>
      <c r="D853" s="41"/>
    </row>
    <row r="854">
      <c r="C854" s="41"/>
      <c r="D854" s="41"/>
    </row>
    <row r="855">
      <c r="C855" s="41"/>
      <c r="D855" s="41"/>
    </row>
    <row r="856">
      <c r="C856" s="41"/>
      <c r="D856" s="41"/>
    </row>
    <row r="857">
      <c r="C857" s="41"/>
      <c r="D857" s="41"/>
    </row>
    <row r="858">
      <c r="C858" s="41"/>
      <c r="D858" s="41"/>
    </row>
    <row r="859">
      <c r="C859" s="41"/>
      <c r="D859" s="41"/>
    </row>
    <row r="860">
      <c r="C860" s="41"/>
      <c r="D860" s="41"/>
    </row>
    <row r="861">
      <c r="C861" s="41"/>
      <c r="D861" s="41"/>
    </row>
    <row r="862">
      <c r="C862" s="41"/>
      <c r="D862" s="41"/>
    </row>
    <row r="863">
      <c r="C863" s="41"/>
      <c r="D863" s="41"/>
    </row>
    <row r="864">
      <c r="C864" s="41"/>
      <c r="D864" s="41"/>
    </row>
    <row r="865">
      <c r="C865" s="41"/>
      <c r="D865" s="41"/>
    </row>
    <row r="866">
      <c r="C866" s="41"/>
      <c r="D866" s="41"/>
    </row>
    <row r="867">
      <c r="C867" s="41"/>
      <c r="D867" s="41"/>
    </row>
    <row r="868">
      <c r="C868" s="41"/>
      <c r="D868" s="41"/>
    </row>
    <row r="869">
      <c r="C869" s="41"/>
      <c r="D869" s="41"/>
    </row>
    <row r="870">
      <c r="C870" s="41"/>
      <c r="D870" s="41"/>
    </row>
    <row r="871">
      <c r="C871" s="41"/>
      <c r="D871" s="41"/>
    </row>
    <row r="872">
      <c r="C872" s="41"/>
      <c r="D872" s="41"/>
    </row>
    <row r="873">
      <c r="C873" s="41"/>
      <c r="D873" s="41"/>
    </row>
    <row r="874">
      <c r="C874" s="41"/>
      <c r="D874" s="41"/>
    </row>
    <row r="875">
      <c r="C875" s="41"/>
      <c r="D875" s="41"/>
    </row>
    <row r="876">
      <c r="C876" s="41"/>
      <c r="D876" s="41"/>
    </row>
    <row r="877">
      <c r="C877" s="41"/>
      <c r="D877" s="41"/>
    </row>
    <row r="878">
      <c r="C878" s="41"/>
      <c r="D878" s="41"/>
    </row>
    <row r="879">
      <c r="C879" s="41"/>
      <c r="D879" s="41"/>
    </row>
    <row r="880">
      <c r="C880" s="41"/>
      <c r="D880" s="41"/>
    </row>
    <row r="881">
      <c r="C881" s="41"/>
      <c r="D881" s="41"/>
    </row>
    <row r="882">
      <c r="C882" s="41"/>
      <c r="D882" s="41"/>
    </row>
    <row r="883">
      <c r="C883" s="41"/>
      <c r="D883" s="41"/>
    </row>
    <row r="884">
      <c r="C884" s="41"/>
      <c r="D884" s="41"/>
    </row>
    <row r="885">
      <c r="C885" s="41"/>
      <c r="D885" s="41"/>
    </row>
    <row r="886">
      <c r="C886" s="41"/>
      <c r="D886" s="41"/>
    </row>
    <row r="887">
      <c r="C887" s="41"/>
      <c r="D887" s="41"/>
    </row>
    <row r="888">
      <c r="C888" s="41"/>
      <c r="D888" s="41"/>
    </row>
    <row r="889">
      <c r="C889" s="41"/>
      <c r="D889" s="41"/>
    </row>
    <row r="890">
      <c r="C890" s="41"/>
      <c r="D890" s="41"/>
    </row>
    <row r="891">
      <c r="C891" s="41"/>
      <c r="D891" s="41"/>
    </row>
    <row r="892">
      <c r="C892" s="41"/>
      <c r="D892" s="41"/>
    </row>
    <row r="893">
      <c r="C893" s="41"/>
      <c r="D893" s="41"/>
    </row>
    <row r="894">
      <c r="C894" s="41"/>
      <c r="D894" s="41"/>
    </row>
    <row r="895">
      <c r="C895" s="41"/>
      <c r="D895" s="41"/>
    </row>
    <row r="896">
      <c r="C896" s="41"/>
      <c r="D896" s="41"/>
    </row>
    <row r="897">
      <c r="C897" s="41"/>
      <c r="D897" s="41"/>
    </row>
    <row r="898">
      <c r="C898" s="41"/>
      <c r="D898" s="41"/>
    </row>
    <row r="899">
      <c r="C899" s="41"/>
      <c r="D899" s="41"/>
    </row>
    <row r="900">
      <c r="C900" s="41"/>
      <c r="D900" s="41"/>
    </row>
    <row r="901">
      <c r="C901" s="41"/>
      <c r="D901" s="41"/>
    </row>
    <row r="902">
      <c r="C902" s="41"/>
      <c r="D902" s="41"/>
    </row>
    <row r="903">
      <c r="C903" s="41"/>
      <c r="D903" s="41"/>
    </row>
    <row r="904">
      <c r="C904" s="41"/>
      <c r="D904" s="41"/>
    </row>
    <row r="905">
      <c r="C905" s="41"/>
      <c r="D905" s="41"/>
    </row>
    <row r="906">
      <c r="C906" s="41"/>
      <c r="D906" s="41"/>
    </row>
    <row r="907">
      <c r="C907" s="41"/>
      <c r="D907" s="41"/>
    </row>
    <row r="908">
      <c r="C908" s="41"/>
      <c r="D908" s="41"/>
    </row>
    <row r="909">
      <c r="C909" s="41"/>
      <c r="D909" s="41"/>
    </row>
    <row r="910">
      <c r="C910" s="41"/>
      <c r="D910" s="41"/>
    </row>
    <row r="911">
      <c r="C911" s="41"/>
      <c r="D911" s="41"/>
    </row>
    <row r="912">
      <c r="C912" s="41"/>
      <c r="D912" s="41"/>
    </row>
    <row r="913">
      <c r="C913" s="41"/>
      <c r="D913" s="41"/>
    </row>
    <row r="914">
      <c r="C914" s="41"/>
      <c r="D914" s="41"/>
    </row>
    <row r="915">
      <c r="C915" s="41"/>
      <c r="D915" s="41"/>
    </row>
    <row r="916">
      <c r="C916" s="41"/>
      <c r="D916" s="41"/>
    </row>
    <row r="917">
      <c r="C917" s="41"/>
      <c r="D917" s="41"/>
    </row>
    <row r="918">
      <c r="C918" s="41"/>
      <c r="D918" s="41"/>
    </row>
    <row r="919">
      <c r="C919" s="41"/>
      <c r="D919" s="41"/>
    </row>
    <row r="920">
      <c r="C920" s="41"/>
      <c r="D920" s="41"/>
    </row>
    <row r="921">
      <c r="C921" s="41"/>
      <c r="D921" s="41"/>
    </row>
    <row r="922">
      <c r="C922" s="41"/>
      <c r="D922" s="41"/>
    </row>
    <row r="923">
      <c r="C923" s="41"/>
      <c r="D923" s="41"/>
    </row>
    <row r="924">
      <c r="C924" s="41"/>
      <c r="D924" s="41"/>
    </row>
    <row r="925">
      <c r="C925" s="41"/>
      <c r="D925" s="41"/>
    </row>
    <row r="926">
      <c r="C926" s="41"/>
      <c r="D926" s="41"/>
    </row>
    <row r="927">
      <c r="C927" s="41"/>
      <c r="D927" s="41"/>
    </row>
    <row r="928">
      <c r="C928" s="41"/>
      <c r="D928" s="41"/>
    </row>
    <row r="929">
      <c r="C929" s="41"/>
      <c r="D929" s="41"/>
    </row>
    <row r="930">
      <c r="C930" s="41"/>
      <c r="D930" s="41"/>
    </row>
    <row r="931">
      <c r="C931" s="41"/>
      <c r="D931" s="41"/>
    </row>
    <row r="932">
      <c r="C932" s="41"/>
      <c r="D932" s="41"/>
    </row>
    <row r="933">
      <c r="C933" s="41"/>
      <c r="D933" s="41"/>
    </row>
    <row r="934">
      <c r="C934" s="41"/>
      <c r="D934" s="41"/>
    </row>
    <row r="935">
      <c r="C935" s="41"/>
      <c r="D935" s="41"/>
    </row>
    <row r="936">
      <c r="C936" s="41"/>
      <c r="D936" s="41"/>
    </row>
    <row r="937">
      <c r="C937" s="41"/>
      <c r="D937" s="41"/>
    </row>
    <row r="938">
      <c r="C938" s="41"/>
      <c r="D938" s="41"/>
    </row>
    <row r="939">
      <c r="C939" s="41"/>
      <c r="D939" s="41"/>
    </row>
    <row r="940">
      <c r="C940" s="41"/>
      <c r="D940" s="41"/>
    </row>
    <row r="941">
      <c r="C941" s="41"/>
      <c r="D941" s="41"/>
    </row>
    <row r="942">
      <c r="C942" s="41"/>
      <c r="D942" s="41"/>
    </row>
    <row r="943">
      <c r="C943" s="41"/>
      <c r="D943" s="41"/>
    </row>
    <row r="944">
      <c r="C944" s="41"/>
      <c r="D944" s="41"/>
    </row>
    <row r="945">
      <c r="C945" s="41"/>
      <c r="D945" s="41"/>
    </row>
    <row r="946">
      <c r="C946" s="41"/>
      <c r="D946" s="41"/>
    </row>
    <row r="947">
      <c r="C947" s="41"/>
      <c r="D947" s="41"/>
    </row>
    <row r="948">
      <c r="C948" s="41"/>
      <c r="D948" s="41"/>
    </row>
    <row r="949">
      <c r="C949" s="41"/>
      <c r="D949" s="41"/>
    </row>
    <row r="950">
      <c r="C950" s="41"/>
      <c r="D950" s="41"/>
    </row>
    <row r="951">
      <c r="C951" s="41"/>
      <c r="D951" s="41"/>
    </row>
    <row r="952">
      <c r="C952" s="41"/>
      <c r="D952" s="41"/>
    </row>
    <row r="953">
      <c r="C953" s="41"/>
      <c r="D953" s="41"/>
    </row>
    <row r="954">
      <c r="C954" s="41"/>
      <c r="D954" s="41"/>
    </row>
    <row r="955">
      <c r="C955" s="41"/>
      <c r="D955" s="41"/>
    </row>
    <row r="956">
      <c r="C956" s="41"/>
      <c r="D956" s="41"/>
    </row>
    <row r="957">
      <c r="C957" s="41"/>
      <c r="D957" s="41"/>
    </row>
    <row r="958">
      <c r="C958" s="41"/>
      <c r="D958" s="41"/>
    </row>
    <row r="959">
      <c r="C959" s="41"/>
      <c r="D959" s="41"/>
    </row>
    <row r="960">
      <c r="C960" s="41"/>
      <c r="D960" s="41"/>
    </row>
    <row r="961">
      <c r="C961" s="41"/>
      <c r="D961" s="41"/>
    </row>
    <row r="962">
      <c r="C962" s="41"/>
      <c r="D962" s="41"/>
    </row>
    <row r="963">
      <c r="C963" s="41"/>
      <c r="D963" s="41"/>
    </row>
    <row r="964">
      <c r="C964" s="41"/>
      <c r="D964" s="41"/>
    </row>
    <row r="965">
      <c r="C965" s="41"/>
      <c r="D965" s="41"/>
    </row>
    <row r="966">
      <c r="C966" s="41"/>
      <c r="D966" s="41"/>
    </row>
    <row r="967">
      <c r="C967" s="41"/>
      <c r="D967" s="41"/>
    </row>
    <row r="968">
      <c r="C968" s="41"/>
      <c r="D968" s="41"/>
    </row>
    <row r="969">
      <c r="C969" s="41"/>
      <c r="D969" s="41"/>
    </row>
    <row r="970">
      <c r="C970" s="41"/>
      <c r="D970" s="41"/>
    </row>
    <row r="971">
      <c r="C971" s="41"/>
      <c r="D971" s="41"/>
    </row>
    <row r="972">
      <c r="C972" s="41"/>
      <c r="D972" s="41"/>
    </row>
    <row r="973">
      <c r="C973" s="41"/>
      <c r="D973" s="41"/>
    </row>
    <row r="974">
      <c r="C974" s="41"/>
      <c r="D974" s="41"/>
    </row>
    <row r="975">
      <c r="C975" s="41"/>
      <c r="D975" s="41"/>
    </row>
    <row r="976">
      <c r="C976" s="41"/>
      <c r="D976" s="41"/>
    </row>
    <row r="977">
      <c r="C977" s="41"/>
      <c r="D977" s="41"/>
    </row>
    <row r="978">
      <c r="C978" s="41"/>
      <c r="D978" s="41"/>
    </row>
    <row r="979">
      <c r="C979" s="41"/>
      <c r="D979" s="41"/>
    </row>
    <row r="980">
      <c r="C980" s="41"/>
      <c r="D980" s="41"/>
    </row>
    <row r="981">
      <c r="C981" s="41"/>
      <c r="D981" s="41"/>
    </row>
    <row r="982">
      <c r="C982" s="41"/>
      <c r="D982" s="41"/>
    </row>
    <row r="983">
      <c r="C983" s="41"/>
      <c r="D983" s="41"/>
    </row>
    <row r="984">
      <c r="C984" s="41"/>
      <c r="D984" s="41"/>
    </row>
    <row r="985">
      <c r="C985" s="41"/>
      <c r="D985" s="41"/>
    </row>
    <row r="986">
      <c r="C986" s="41"/>
      <c r="D986" s="41"/>
    </row>
    <row r="987">
      <c r="C987" s="41"/>
      <c r="D987" s="41"/>
    </row>
    <row r="988">
      <c r="C988" s="41"/>
      <c r="D988" s="41"/>
    </row>
    <row r="989">
      <c r="C989" s="41"/>
      <c r="D989" s="41"/>
    </row>
    <row r="990">
      <c r="C990" s="41"/>
      <c r="D990" s="41"/>
    </row>
    <row r="991">
      <c r="C991" s="41"/>
      <c r="D991" s="41"/>
    </row>
    <row r="992">
      <c r="C992" s="41"/>
      <c r="D992" s="41"/>
    </row>
    <row r="993">
      <c r="C993" s="41"/>
      <c r="D993" s="41"/>
    </row>
    <row r="994">
      <c r="C994" s="41"/>
      <c r="D994" s="41"/>
    </row>
    <row r="995">
      <c r="C995" s="41"/>
      <c r="D995" s="41"/>
    </row>
    <row r="996">
      <c r="C996" s="41"/>
      <c r="D996" s="41"/>
    </row>
    <row r="997">
      <c r="C997" s="41"/>
      <c r="D997" s="41"/>
    </row>
    <row r="998">
      <c r="C998" s="41"/>
      <c r="D998" s="41"/>
    </row>
    <row r="999">
      <c r="C999" s="41"/>
      <c r="D999" s="41"/>
    </row>
    <row r="1000">
      <c r="C1000" s="41"/>
      <c r="D1000" s="41"/>
    </row>
    <row r="1001">
      <c r="C1001" s="41"/>
      <c r="D1001" s="4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28.63"/>
    <col customWidth="1" min="4" max="4" width="23.88"/>
    <col customWidth="1" min="5" max="5" width="9.38"/>
    <col customWidth="1" min="6" max="6" width="14.75"/>
    <col customWidth="1" min="7" max="7" width="11.13"/>
  </cols>
  <sheetData>
    <row r="1">
      <c r="A1" s="1" t="s">
        <v>0</v>
      </c>
      <c r="B1" s="3" t="s">
        <v>2</v>
      </c>
      <c r="C1" s="1" t="s">
        <v>4</v>
      </c>
      <c r="D1" s="1" t="s">
        <v>5</v>
      </c>
      <c r="E1" s="1" t="s">
        <v>6</v>
      </c>
      <c r="F1" s="5" t="s">
        <v>7</v>
      </c>
      <c r="G1" s="7" t="s">
        <v>9</v>
      </c>
    </row>
    <row r="2">
      <c r="A2" s="8" t="s">
        <v>11</v>
      </c>
      <c r="B2" s="14">
        <f t="array" ref="B2">index(PIDtoTSN!E:E, match(A2, PIDtoTSN!A:A, 0))</f>
        <v>200224596</v>
      </c>
      <c r="C2" s="8" t="s">
        <v>32</v>
      </c>
      <c r="D2" s="8" t="s">
        <v>33</v>
      </c>
      <c r="E2" s="8" t="s">
        <v>34</v>
      </c>
      <c r="F2" s="19" t="str">
        <f t="array" ref="F2">index('Mentor Choices'!B:B, match(E2, 'Mentor Choices'!A:A, 0))</f>
        <v>Misha Belkin</v>
      </c>
      <c r="G2" s="19" t="str">
        <f>IF(COUNTIF(Sept16!C:C, B2) &gt; 0, "yes", "no")</f>
        <v>no</v>
      </c>
    </row>
    <row r="3">
      <c r="A3" s="8" t="s">
        <v>57</v>
      </c>
      <c r="B3" s="14">
        <f t="array" ref="B3">index(PIDtoTSN!E:E, match(A3, PIDtoTSN!A:A, 0))</f>
        <v>200212751</v>
      </c>
      <c r="C3" s="8" t="s">
        <v>63</v>
      </c>
      <c r="D3" s="8" t="s">
        <v>64</v>
      </c>
      <c r="E3" s="8" t="s">
        <v>66</v>
      </c>
      <c r="F3" s="19" t="str">
        <f t="array" ref="F3">index('Mentor Choices'!B:B, match(E3, 'Mentor Choices'!A:A, 0))</f>
        <v>Tiffany Amariuta</v>
      </c>
      <c r="G3" s="19" t="str">
        <f>IF(COUNTIF(Sept16!C:C, B3) &gt; 0, "yes", "no")</f>
        <v>no</v>
      </c>
    </row>
    <row r="4">
      <c r="A4" s="8" t="s">
        <v>72</v>
      </c>
      <c r="B4" s="14">
        <f t="array" ref="B4">index(PIDtoTSN!E:E, match(A4, PIDtoTSN!A:A, 0))</f>
        <v>200183812</v>
      </c>
      <c r="C4" s="8" t="s">
        <v>107</v>
      </c>
      <c r="D4" s="8" t="s">
        <v>108</v>
      </c>
      <c r="E4" s="8" t="s">
        <v>109</v>
      </c>
      <c r="F4" s="19" t="str">
        <f t="array" ref="F4">index('Mentor Choices'!B:B, match(E4, 'Mentor Choices'!A:A, 0))</f>
        <v>Mikio Aoi</v>
      </c>
      <c r="G4" s="19" t="str">
        <f>IF(COUNTIF(Sept16!C:C, B4) &gt; 0, "yes", "no")</f>
        <v>no</v>
      </c>
    </row>
    <row r="5">
      <c r="A5" s="8" t="s">
        <v>129</v>
      </c>
      <c r="B5" s="14">
        <f t="array" ref="B5">index(PIDtoTSN!E:E, match(A5, PIDtoTSN!A:A, 0))</f>
        <v>200183972</v>
      </c>
      <c r="C5" s="8" t="s">
        <v>143</v>
      </c>
      <c r="D5" s="8" t="s">
        <v>146</v>
      </c>
      <c r="E5" s="8" t="s">
        <v>148</v>
      </c>
      <c r="F5" s="19" t="str">
        <f t="array" ref="F5">index('Mentor Choices'!B:B, match(E5, 'Mentor Choices'!A:A, 0))</f>
        <v>Rayan Saab</v>
      </c>
      <c r="G5" s="19" t="str">
        <f>IF(COUNTIF(Sept16!C:C, B5) &gt; 0, "yes", "no")</f>
        <v>no</v>
      </c>
    </row>
    <row r="6">
      <c r="A6" s="8" t="s">
        <v>163</v>
      </c>
      <c r="B6" s="14">
        <f t="array" ref="B6">index(PIDtoTSN!E:E, match(A6, PIDtoTSN!A:A, 0))</f>
        <v>200173831</v>
      </c>
      <c r="C6" s="8" t="s">
        <v>170</v>
      </c>
      <c r="D6" s="8" t="s">
        <v>172</v>
      </c>
      <c r="E6" s="8" t="s">
        <v>59</v>
      </c>
      <c r="F6" s="19" t="str">
        <f t="array" ref="F6">index('Mentor Choices'!B:B, match(E6, 'Mentor Choices'!A:A, 0))</f>
        <v>Kyle Nero</v>
      </c>
      <c r="G6" s="19" t="str">
        <f>IF(COUNTIF(Sept16!C:C, B6) &gt; 0, "yes", "no")</f>
        <v>no</v>
      </c>
    </row>
    <row r="7">
      <c r="A7" s="8" t="s">
        <v>194</v>
      </c>
      <c r="B7" s="14">
        <f t="array" ref="B7">index(PIDtoTSN!E:E, match(A7, PIDtoTSN!A:A, 0))</f>
        <v>200150496</v>
      </c>
      <c r="C7" s="8" t="s">
        <v>201</v>
      </c>
      <c r="D7" s="8" t="s">
        <v>203</v>
      </c>
      <c r="E7" s="8" t="s">
        <v>191</v>
      </c>
      <c r="F7" s="19" t="str">
        <f t="array" ref="F7">index('Mentor Choices'!B:B, match(E7, 'Mentor Choices'!A:A, 0))</f>
        <v>Tauhidur Rahaman</v>
      </c>
      <c r="G7" s="19" t="str">
        <f>IF(COUNTIF(Sept16!C:C, B7) &gt; 0, "yes", "no")</f>
        <v>no</v>
      </c>
    </row>
    <row r="8">
      <c r="A8" s="8" t="s">
        <v>134</v>
      </c>
      <c r="B8" s="14">
        <f t="array" ref="B8">index(PIDtoTSN!E:E, match(A8, PIDtoTSN!A:A, 0))</f>
        <v>200152388</v>
      </c>
      <c r="C8" s="8" t="s">
        <v>220</v>
      </c>
      <c r="D8" s="8" t="s">
        <v>221</v>
      </c>
      <c r="E8" s="8" t="s">
        <v>126</v>
      </c>
      <c r="F8" s="19" t="str">
        <f t="array" ref="F8">index('Mentor Choices'!B:B, match(E8, 'Mentor Choices'!A:A, 0))</f>
        <v>Igor Sfiligoi</v>
      </c>
      <c r="G8" s="19" t="str">
        <f>IF(COUNTIF(Sept16!C:C, B8) &gt; 0, "yes", "no")</f>
        <v>no</v>
      </c>
    </row>
    <row r="9">
      <c r="A9" s="8" t="s">
        <v>227</v>
      </c>
      <c r="B9" s="14">
        <f t="array" ref="B9">index(PIDtoTSN!E:E, match(A9, PIDtoTSN!A:A, 0))</f>
        <v>200092842</v>
      </c>
      <c r="C9" s="8" t="s">
        <v>232</v>
      </c>
      <c r="D9" s="8" t="s">
        <v>233</v>
      </c>
      <c r="E9" s="8" t="s">
        <v>70</v>
      </c>
      <c r="F9" s="19" t="str">
        <f t="array" ref="F9">index('Mentor Choices'!B:B, match(E9, 'Mentor Choices'!A:A, 0))</f>
        <v>Aobo Li</v>
      </c>
      <c r="G9" s="19" t="str">
        <f>IF(COUNTIF(Sept16!C:C, B9) &gt; 0, "yes", "no")</f>
        <v>no</v>
      </c>
    </row>
    <row r="10">
      <c r="A10" s="8" t="s">
        <v>245</v>
      </c>
      <c r="B10" s="14">
        <f t="array" ref="B10">index(PIDtoTSN!E:E, match(A10, PIDtoTSN!A:A, 0))</f>
        <v>200089500</v>
      </c>
      <c r="C10" s="8" t="s">
        <v>255</v>
      </c>
      <c r="D10" s="8" t="s">
        <v>256</v>
      </c>
      <c r="E10" s="8" t="s">
        <v>66</v>
      </c>
      <c r="F10" s="19" t="str">
        <f t="array" ref="F10">index('Mentor Choices'!B:B, match(E10, 'Mentor Choices'!A:A, 0))</f>
        <v>Tiffany Amariuta</v>
      </c>
      <c r="G10" s="19" t="str">
        <f>IF(COUNTIF(Sept16!C:C, B10) &gt; 0, "yes", "no")</f>
        <v>no</v>
      </c>
    </row>
    <row r="11">
      <c r="A11" s="8" t="s">
        <v>278</v>
      </c>
      <c r="B11" s="14">
        <f t="array" ref="B11">index(PIDtoTSN!E:E, match(A11, PIDtoTSN!A:A, 0))</f>
        <v>200052943</v>
      </c>
      <c r="C11" s="8" t="s">
        <v>284</v>
      </c>
      <c r="D11" s="8" t="s">
        <v>286</v>
      </c>
      <c r="E11" s="8" t="s">
        <v>55</v>
      </c>
      <c r="F11" s="19" t="str">
        <f t="array" ref="F11">index('Mentor Choices'!B:B, match(E11, 'Mentor Choices'!A:A, 0))</f>
        <v>Haojian Jin</v>
      </c>
      <c r="G11" s="19" t="str">
        <f>IF(COUNTIF(Sept16!C:C, B11) &gt; 0, "yes", "no")</f>
        <v>no</v>
      </c>
    </row>
    <row r="12">
      <c r="A12" s="8" t="s">
        <v>297</v>
      </c>
      <c r="B12" s="14">
        <f t="array" ref="B12">index(PIDtoTSN!E:E, match(A12, PIDtoTSN!A:A, 0))</f>
        <v>200048174</v>
      </c>
      <c r="C12" s="8" t="s">
        <v>301</v>
      </c>
      <c r="D12" s="8" t="s">
        <v>302</v>
      </c>
      <c r="E12" s="8" t="s">
        <v>191</v>
      </c>
      <c r="F12" s="19" t="str">
        <f t="array" ref="F12">index('Mentor Choices'!B:B, match(E12, 'Mentor Choices'!A:A, 0))</f>
        <v>Tauhidur Rahaman</v>
      </c>
      <c r="G12" s="19" t="str">
        <f>IF(COUNTIF(Sept16!C:C, B12) &gt; 0, "yes", "no")</f>
        <v>no</v>
      </c>
    </row>
    <row r="13">
      <c r="A13" s="8" t="s">
        <v>315</v>
      </c>
      <c r="B13" s="14">
        <f t="array" ref="B13">index(PIDtoTSN!E:E, match(A13, PIDtoTSN!A:A, 0))</f>
        <v>200046453</v>
      </c>
      <c r="C13" s="8" t="s">
        <v>321</v>
      </c>
      <c r="D13" s="8" t="s">
        <v>322</v>
      </c>
      <c r="E13" s="8" t="s">
        <v>323</v>
      </c>
      <c r="F13" s="19" t="str">
        <f t="array" ref="F13">index('Mentor Choices'!B:B, match(E13, 'Mentor Choices'!A:A, 0))</f>
        <v>Peter Chi</v>
      </c>
      <c r="G13" s="19" t="str">
        <f>IF(COUNTIF(Sept16!C:C, B13) &gt; 0, "yes", "no")</f>
        <v>no</v>
      </c>
    </row>
    <row r="14">
      <c r="A14" s="8" t="s">
        <v>141</v>
      </c>
      <c r="B14" s="14">
        <f t="array" ref="B14">index(PIDtoTSN!E:E, match(A14, PIDtoTSN!A:A, 0))</f>
        <v>200337469</v>
      </c>
      <c r="C14" s="8" t="s">
        <v>345</v>
      </c>
      <c r="D14" s="8" t="s">
        <v>347</v>
      </c>
      <c r="E14" s="8" t="s">
        <v>126</v>
      </c>
      <c r="F14" s="19" t="str">
        <f t="array" ref="F14">index('Mentor Choices'!B:B, match(E14, 'Mentor Choices'!A:A, 0))</f>
        <v>Igor Sfiligoi</v>
      </c>
      <c r="G14" s="19" t="str">
        <f>IF(COUNTIF(Sept16!C:C, B14) &gt; 0, "yes", "no")</f>
        <v>no</v>
      </c>
    </row>
    <row r="15">
      <c r="A15" s="38" t="s">
        <v>361</v>
      </c>
      <c r="B15" s="14">
        <f t="array" ref="B15">index(PIDtoTSN!E:E, match(A15, PIDtoTSN!A:A, 0))</f>
        <v>200021549</v>
      </c>
      <c r="C15" s="38" t="s">
        <v>367</v>
      </c>
      <c r="D15" s="38" t="s">
        <v>369</v>
      </c>
      <c r="E15" s="38" t="s">
        <v>341</v>
      </c>
      <c r="F15" s="19" t="str">
        <f t="array" ref="F15">index('Mentor Choices'!B:B, match(E15, 'Mentor Choices'!A:A, 0))</f>
        <v>Arya Mazumdar</v>
      </c>
      <c r="G15" s="19" t="str">
        <f>IF(COUNTIF(Sept16!C:C, B15) &gt; 0, "yes", "no")</f>
        <v>no</v>
      </c>
    </row>
    <row r="16">
      <c r="B16" s="40">
        <v>2.00024478E8</v>
      </c>
      <c r="C16" s="11" t="s">
        <v>381</v>
      </c>
      <c r="D16" s="11" t="s">
        <v>382</v>
      </c>
      <c r="E16" s="11" t="s">
        <v>291</v>
      </c>
      <c r="F16" s="19" t="str">
        <f t="array" ref="F16">index('Mentor Choices'!B:B, match(E16, 'Mentor Choices'!A:A, 0))</f>
        <v>Babak Salimi</v>
      </c>
      <c r="G16" s="19" t="str">
        <f>IF(COUNTIF(Sept16!C:C, B16) &gt; 0, "yes", "no")</f>
        <v>no</v>
      </c>
    </row>
    <row r="17">
      <c r="A17" s="8" t="s">
        <v>276</v>
      </c>
      <c r="B17" s="14">
        <f t="array" ref="B17">index(PIDtoTSN!E:E, match(A17, PIDtoTSN!A:A, 0))</f>
        <v>200183921</v>
      </c>
      <c r="C17" s="8" t="s">
        <v>394</v>
      </c>
      <c r="D17" s="8" t="s">
        <v>395</v>
      </c>
      <c r="E17" s="8" t="s">
        <v>109</v>
      </c>
      <c r="F17" s="19" t="str">
        <f t="array" ref="F17">index('Mentor Choices'!B:B, match(E17, 'Mentor Choices'!A:A, 0))</f>
        <v>Mikio Aoi</v>
      </c>
      <c r="G17" s="19" t="str">
        <f>IF(COUNTIF(Sept16!C:C, B17) &gt; 0, "yes", "no")</f>
        <v>no</v>
      </c>
    </row>
    <row r="18">
      <c r="A18" s="8" t="s">
        <v>328</v>
      </c>
      <c r="B18" s="14">
        <f t="array" ref="B18">index(PIDtoTSN!E:E, match(A18, PIDtoTSN!A:A, 0))</f>
        <v>200147555</v>
      </c>
      <c r="C18" s="8" t="s">
        <v>408</v>
      </c>
      <c r="D18" s="8" t="s">
        <v>409</v>
      </c>
      <c r="E18" s="8" t="s">
        <v>132</v>
      </c>
      <c r="F18" s="19" t="str">
        <f t="array" ref="F18">index('Mentor Choices'!B:B, match(E18, 'Mentor Choices'!A:A, 0))</f>
        <v>Tianhao Wang</v>
      </c>
      <c r="G18" s="19" t="str">
        <f>IF(COUNTIF(Sept16!C:C, B18) &gt; 0, "yes", "no")</f>
        <v>no</v>
      </c>
    </row>
    <row r="19">
      <c r="A19" s="8" t="s">
        <v>356</v>
      </c>
      <c r="B19" s="14">
        <f t="array" ref="B19">index(PIDtoTSN!E:E, match(A19, PIDtoTSN!A:A, 0))</f>
        <v>200147889</v>
      </c>
      <c r="C19" s="8" t="s">
        <v>416</v>
      </c>
      <c r="D19" s="8" t="s">
        <v>417</v>
      </c>
      <c r="E19" s="8" t="s">
        <v>291</v>
      </c>
      <c r="F19" s="19" t="str">
        <f t="array" ref="F19">index('Mentor Choices'!B:B, match(E19, 'Mentor Choices'!A:A, 0))</f>
        <v>Babak Salimi</v>
      </c>
      <c r="G19" s="19" t="str">
        <f>IF(COUNTIF(Sept16!C:C, B19) &gt; 0, "yes", "no")</f>
        <v>no</v>
      </c>
    </row>
    <row r="20">
      <c r="A20" s="8" t="s">
        <v>388</v>
      </c>
      <c r="B20" s="14">
        <f t="array" ref="B20">index(PIDtoTSN!E:E, match(A20, PIDtoTSN!A:A, 0))</f>
        <v>200144995</v>
      </c>
      <c r="C20" s="8" t="s">
        <v>422</v>
      </c>
      <c r="D20" s="8" t="s">
        <v>423</v>
      </c>
      <c r="E20" s="8" t="s">
        <v>336</v>
      </c>
      <c r="F20" s="19" t="str">
        <f t="array" ref="F20">index('Mentor Choices'!B:B, match(E20, 'Mentor Choices'!A:A, 0))</f>
        <v>Zhijian Liu</v>
      </c>
      <c r="G20" s="19" t="str">
        <f>IF(COUNTIF(Sept16!C:C, B20) &gt; 0, "yes", "no")</f>
        <v>no</v>
      </c>
    </row>
    <row r="21">
      <c r="A21" s="8" t="s">
        <v>427</v>
      </c>
      <c r="B21" s="14">
        <f t="array" ref="B21">index(PIDtoTSN!E:E, match(A21, PIDtoTSN!A:A, 0))</f>
        <v>200121619</v>
      </c>
      <c r="C21" s="8" t="s">
        <v>429</v>
      </c>
      <c r="D21" s="8" t="s">
        <v>430</v>
      </c>
      <c r="E21" s="8" t="s">
        <v>171</v>
      </c>
      <c r="F21" s="19" t="str">
        <f t="array" ref="F21">index('Mentor Choices'!B:B, match(E21, 'Mentor Choices'!A:A, 0))</f>
        <v>Reem Khojah</v>
      </c>
      <c r="G21" s="19" t="str">
        <f>IF(COUNTIF(Sept16!C:C, B21) &gt; 0, "yes", "no")</f>
        <v>no</v>
      </c>
    </row>
    <row r="22">
      <c r="A22" s="8" t="s">
        <v>340</v>
      </c>
      <c r="B22" s="14">
        <f t="array" ref="B22">index(PIDtoTSN!E:E, match(A22, PIDtoTSN!A:A, 0))</f>
        <v>200032924</v>
      </c>
      <c r="C22" s="8" t="s">
        <v>431</v>
      </c>
      <c r="D22" s="8" t="s">
        <v>432</v>
      </c>
      <c r="E22" s="8" t="s">
        <v>85</v>
      </c>
      <c r="F22" s="19" t="str">
        <f t="array" ref="F22">index('Mentor Choices'!B:B, match(E22, 'Mentor Choices'!A:A, 0))</f>
        <v>Yoav Freund</v>
      </c>
      <c r="G22" s="19" t="str">
        <f>IF(COUNTIF(Sept16!C:C, B22) &gt; 0, "yes", "no")</f>
        <v>no</v>
      </c>
    </row>
    <row r="23">
      <c r="A23" s="8" t="s">
        <v>93</v>
      </c>
      <c r="B23" s="14">
        <f t="array" ref="B23">index(PIDtoTSN!E:E, match(A23, PIDtoTSN!A:A, 0))</f>
        <v>200154571</v>
      </c>
      <c r="C23" s="8" t="s">
        <v>437</v>
      </c>
      <c r="D23" s="8" t="s">
        <v>438</v>
      </c>
      <c r="E23" s="8"/>
      <c r="F23" s="19" t="str">
        <f t="array" ref="F23">index('Mentor Choices'!B:B, match(E23, 'Mentor Choices'!A:A, 0))</f>
        <v>#N/A</v>
      </c>
      <c r="G23" s="11" t="s">
        <v>439</v>
      </c>
    </row>
    <row r="24">
      <c r="A24" s="8" t="s">
        <v>376</v>
      </c>
      <c r="B24" s="14">
        <f t="array" ref="B24">index(PIDtoTSN!E:E, match(A24, PIDtoTSN!A:A, 0))</f>
        <v>200090248</v>
      </c>
      <c r="C24" s="8" t="s">
        <v>444</v>
      </c>
      <c r="D24" s="8" t="s">
        <v>445</v>
      </c>
      <c r="E24" s="8"/>
      <c r="F24" s="19" t="str">
        <f t="array" ref="F24">index('Mentor Choices'!B:B, match(E24, 'Mentor Choices'!A:A, 0))</f>
        <v>#N/A</v>
      </c>
      <c r="G24" s="11" t="s">
        <v>439</v>
      </c>
    </row>
    <row r="25">
      <c r="A25" s="8" t="s">
        <v>446</v>
      </c>
      <c r="B25" s="14">
        <f t="array" ref="B25">index(PIDtoTSN!E:E, match(A25, PIDtoTSN!A:A, 0))</f>
        <v>200032724</v>
      </c>
      <c r="C25" s="8" t="s">
        <v>447</v>
      </c>
      <c r="D25" s="8" t="s">
        <v>448</v>
      </c>
      <c r="E25" s="8"/>
      <c r="F25" s="19" t="str">
        <f t="array" ref="F25">index('Mentor Choices'!B:B, match(E25, 'Mentor Choices'!A:A, 0))</f>
        <v>#N/A</v>
      </c>
      <c r="G25" s="11" t="s">
        <v>439</v>
      </c>
    </row>
    <row r="26">
      <c r="A26" s="8" t="s">
        <v>450</v>
      </c>
      <c r="B26" s="14">
        <f t="array" ref="B26">index(PIDtoTSN!E:E, match(A26, PIDtoTSN!A:A, 0))</f>
        <v>200330225</v>
      </c>
      <c r="C26" s="8" t="s">
        <v>453</v>
      </c>
      <c r="D26" s="8" t="s">
        <v>454</v>
      </c>
      <c r="E26" s="8"/>
      <c r="F26" s="19" t="str">
        <f t="array" ref="F26">index('Mentor Choices'!B:B, match(E26, 'Mentor Choices'!A:A, 0))</f>
        <v>#N/A</v>
      </c>
      <c r="G26" s="11" t="s">
        <v>439</v>
      </c>
    </row>
    <row r="27">
      <c r="A27" s="8" t="s">
        <v>455</v>
      </c>
      <c r="B27" s="51">
        <v>2.00168572E8</v>
      </c>
      <c r="C27" s="8" t="s">
        <v>456</v>
      </c>
      <c r="D27" s="8" t="s">
        <v>457</v>
      </c>
      <c r="E27" s="8" t="s">
        <v>289</v>
      </c>
      <c r="F27" s="19" t="str">
        <f t="array" ref="F27">index('Mentor Choices'!B:B, match(E27, 'Mentor Choices'!A:A, 0))</f>
        <v>Yusu Wang</v>
      </c>
      <c r="G27" s="19" t="str">
        <f>IF(COUNTIF(Sept16!C:C, B27) &gt; 0, "yes", "no")</f>
        <v>yes</v>
      </c>
    </row>
    <row r="28">
      <c r="A28" s="8" t="s">
        <v>316</v>
      </c>
      <c r="B28" s="51">
        <v>2.00165827E8</v>
      </c>
      <c r="C28" s="8" t="s">
        <v>458</v>
      </c>
      <c r="D28" s="8" t="s">
        <v>459</v>
      </c>
      <c r="E28" s="8" t="s">
        <v>54</v>
      </c>
      <c r="F28" s="19" t="str">
        <f t="array" ref="F28">index('Mentor Choices'!B:B, match(E28, 'Mentor Choices'!A:A, 0))</f>
        <v>Ryan Lingo</v>
      </c>
      <c r="G28" s="19" t="str">
        <f>IF(COUNTIF(Sept16!C:C, B28) &gt; 0, "yes", "no")</f>
        <v>yes</v>
      </c>
    </row>
    <row r="29">
      <c r="A29" s="8" t="s">
        <v>185</v>
      </c>
      <c r="B29" s="14">
        <f t="array" ref="B29">index(PIDtoTSN!E:E, match(A29, PIDtoTSN!A:A, 0))</f>
        <v>200144405</v>
      </c>
      <c r="C29" s="8" t="s">
        <v>464</v>
      </c>
      <c r="D29" s="8" t="s">
        <v>465</v>
      </c>
      <c r="E29" s="8" t="s">
        <v>59</v>
      </c>
      <c r="F29" s="19" t="str">
        <f t="array" ref="F29">index('Mentor Choices'!B:B, match(E29, 'Mentor Choices'!A:A, 0))</f>
        <v>Kyle Nero</v>
      </c>
      <c r="G29" s="19" t="str">
        <f>IF(COUNTIF(Sept16!C:C, B29) &gt; 0, "yes", "no")</f>
        <v>yes</v>
      </c>
    </row>
    <row r="30">
      <c r="A30" s="8" t="s">
        <v>468</v>
      </c>
      <c r="B30" s="53">
        <v>2.00137537E8</v>
      </c>
      <c r="C30" s="8" t="s">
        <v>471</v>
      </c>
      <c r="D30" s="8" t="s">
        <v>472</v>
      </c>
      <c r="E30" s="8" t="s">
        <v>341</v>
      </c>
      <c r="F30" s="19" t="str">
        <f t="array" ref="F30">index('Mentor Choices'!B:B, match(E30, 'Mentor Choices'!A:A, 0))</f>
        <v>Arya Mazumdar</v>
      </c>
      <c r="G30" s="19" t="str">
        <f>IF(COUNTIF(Sept16!C:C, B30) &gt; 0, "yes", "no")</f>
        <v>yes</v>
      </c>
    </row>
    <row r="31">
      <c r="A31" s="8" t="s">
        <v>177</v>
      </c>
      <c r="B31" s="14">
        <f t="array" ref="B31">index(PIDtoTSN!E:E, match(A31, PIDtoTSN!A:A, 0))</f>
        <v>200114926</v>
      </c>
      <c r="C31" s="8" t="s">
        <v>473</v>
      </c>
      <c r="D31" s="8" t="s">
        <v>474</v>
      </c>
      <c r="E31" s="8" t="s">
        <v>59</v>
      </c>
      <c r="F31" s="19" t="str">
        <f t="array" ref="F31">index('Mentor Choices'!B:B, match(E31, 'Mentor Choices'!A:A, 0))</f>
        <v>Kyle Nero</v>
      </c>
      <c r="G31" s="19" t="str">
        <f>IF(COUNTIF(Sept16!C:C, B31) &gt; 0, "yes", "no")</f>
        <v>yes</v>
      </c>
    </row>
    <row r="32">
      <c r="A32" s="8" t="s">
        <v>478</v>
      </c>
      <c r="B32" s="51">
        <v>2.0011761E8</v>
      </c>
      <c r="C32" s="8" t="s">
        <v>479</v>
      </c>
      <c r="D32" s="8" t="s">
        <v>480</v>
      </c>
      <c r="E32" s="8" t="s">
        <v>289</v>
      </c>
      <c r="F32" s="11" t="s">
        <v>348</v>
      </c>
      <c r="G32" s="19" t="str">
        <f>IF(COUNTIF(Sept16!C:C, B32) &gt; 0, "yes", "no")</f>
        <v>yes</v>
      </c>
    </row>
    <row r="33">
      <c r="A33" s="54" t="s">
        <v>481</v>
      </c>
      <c r="B33" s="14">
        <f t="array" ref="B33">index(PIDtoTSN!E:E, match(A33, PIDtoTSN!A:A, 0))</f>
        <v>200047647</v>
      </c>
      <c r="C33" s="8" t="s">
        <v>482</v>
      </c>
      <c r="D33" s="8" t="s">
        <v>483</v>
      </c>
      <c r="E33" s="8" t="s">
        <v>52</v>
      </c>
      <c r="F33" s="19" t="str">
        <f t="array" ref="F33">index('Mentor Choices'!B:B, match(E33, 'Mentor Choices'!A:A, 0))</f>
        <v>Renu Raman</v>
      </c>
      <c r="G33" s="19" t="str">
        <f>IF(COUNTIF(Sept16!C:C, B33) &gt; 0, "yes", "no")</f>
        <v>yes</v>
      </c>
    </row>
    <row r="34">
      <c r="A34" s="8" t="s">
        <v>183</v>
      </c>
      <c r="B34" s="14">
        <f t="array" ref="B34">index(PIDtoTSN!E:E, match(A34, PIDtoTSN!A:A, 0))</f>
        <v>200293399</v>
      </c>
      <c r="C34" s="8" t="s">
        <v>487</v>
      </c>
      <c r="D34" s="8" t="s">
        <v>488</v>
      </c>
      <c r="E34" s="8" t="s">
        <v>59</v>
      </c>
      <c r="F34" s="19" t="str">
        <f t="array" ref="F34">index('Mentor Choices'!B:B, match(E34, 'Mentor Choices'!A:A, 0))</f>
        <v>Kyle Nero</v>
      </c>
      <c r="G34" s="19" t="str">
        <f>IF(COUNTIF(Sept16!C:C, B34) &gt; 0, "yes", "no")</f>
        <v>yes</v>
      </c>
    </row>
    <row r="35">
      <c r="A35" s="8" t="s">
        <v>489</v>
      </c>
      <c r="B35" s="14">
        <f t="array" ref="B35">index(PIDtoTSN!E:E, match(A35, PIDtoTSN!A:A, 0))</f>
        <v>200219387</v>
      </c>
      <c r="C35" s="8" t="s">
        <v>494</v>
      </c>
      <c r="D35" s="8" t="s">
        <v>495</v>
      </c>
      <c r="E35" s="8" t="s">
        <v>80</v>
      </c>
      <c r="F35" s="19" t="str">
        <f t="array" ref="F35">index('Mentor Choices'!B:B, match(E35, 'Mentor Choices'!A:A, 0))</f>
        <v>Biwei Huang</v>
      </c>
      <c r="G35" s="19" t="str">
        <f>IF(COUNTIF(Sept16!C:C, B35) &gt; 0, "yes", "no")</f>
        <v>yes</v>
      </c>
    </row>
    <row r="36">
      <c r="A36" s="8" t="s">
        <v>496</v>
      </c>
      <c r="B36" s="14">
        <f t="array" ref="B36">index(PIDtoTSN!E:E, match(A36, PIDtoTSN!A:A, 0))</f>
        <v>200217277</v>
      </c>
      <c r="C36" s="8" t="s">
        <v>497</v>
      </c>
      <c r="D36" s="8" t="s">
        <v>498</v>
      </c>
      <c r="E36" s="8" t="s">
        <v>273</v>
      </c>
      <c r="F36" s="19" t="str">
        <f t="array" ref="F36">index('Mentor Choices'!B:B, match(E36, 'Mentor Choices'!A:A, 0))</f>
        <v>Stuart Geiger</v>
      </c>
      <c r="G36" s="19" t="str">
        <f>IF(COUNTIF(Sept16!C:C, B36) &gt; 0, "yes", "no")</f>
        <v>yes</v>
      </c>
    </row>
    <row r="37">
      <c r="A37" s="8" t="s">
        <v>403</v>
      </c>
      <c r="B37" s="14">
        <f t="array" ref="B37">index(PIDtoTSN!E:E, match(A37, PIDtoTSN!A:A, 0))</f>
        <v>200215713</v>
      </c>
      <c r="C37" s="8" t="s">
        <v>500</v>
      </c>
      <c r="D37" s="8" t="s">
        <v>501</v>
      </c>
      <c r="E37" s="8" t="s">
        <v>60</v>
      </c>
      <c r="F37" s="19" t="str">
        <f t="array" ref="F37">index('Mentor Choices'!B:B, match(E37, 'Mentor Choices'!A:A, 0))</f>
        <v>Bijian Arbab</v>
      </c>
      <c r="G37" s="19" t="str">
        <f>IF(COUNTIF(Sept16!C:C, B37) &gt; 0, "yes", "no")</f>
        <v>yes</v>
      </c>
    </row>
    <row r="38">
      <c r="A38" s="8" t="s">
        <v>506</v>
      </c>
      <c r="B38" s="14">
        <f t="array" ref="B38">index(PIDtoTSN!E:E, match(A38, PIDtoTSN!A:A, 0))</f>
        <v>200210305</v>
      </c>
      <c r="C38" s="8" t="s">
        <v>507</v>
      </c>
      <c r="D38" s="8" t="s">
        <v>508</v>
      </c>
      <c r="E38" s="8" t="s">
        <v>126</v>
      </c>
      <c r="F38" s="19" t="str">
        <f t="array" ref="F38">index('Mentor Choices'!B:B, match(E38, 'Mentor Choices'!A:A, 0))</f>
        <v>Igor Sfiligoi</v>
      </c>
      <c r="G38" s="19" t="str">
        <f>IF(COUNTIF(Sept16!C:C, B38) &gt; 0, "yes", "no")</f>
        <v>yes</v>
      </c>
    </row>
    <row r="39">
      <c r="A39" s="8" t="s">
        <v>509</v>
      </c>
      <c r="B39" s="14">
        <f t="array" ref="B39">index(PIDtoTSN!E:E, match(A39, PIDtoTSN!A:A, 0))</f>
        <v>200208439</v>
      </c>
      <c r="C39" s="8" t="s">
        <v>513</v>
      </c>
      <c r="D39" s="8" t="s">
        <v>514</v>
      </c>
      <c r="E39" s="8" t="s">
        <v>66</v>
      </c>
      <c r="F39" s="19" t="str">
        <f t="array" ref="F39">index('Mentor Choices'!B:B, match(E39, 'Mentor Choices'!A:A, 0))</f>
        <v>Tiffany Amariuta</v>
      </c>
      <c r="G39" s="19" t="str">
        <f>IF(COUNTIF(Sept16!C:C, B39) &gt; 0, "yes", "no")</f>
        <v>yes</v>
      </c>
    </row>
    <row r="40">
      <c r="A40" s="8" t="s">
        <v>318</v>
      </c>
      <c r="B40" s="14">
        <f t="array" ref="B40">index(PIDtoTSN!E:E, match(A40, PIDtoTSN!A:A, 0))</f>
        <v>200183188</v>
      </c>
      <c r="C40" s="8" t="s">
        <v>519</v>
      </c>
      <c r="D40" s="8" t="s">
        <v>520</v>
      </c>
      <c r="E40" s="8" t="s">
        <v>54</v>
      </c>
      <c r="F40" s="19" t="str">
        <f t="array" ref="F40">index('Mentor Choices'!B:B, match(E40, 'Mentor Choices'!A:A, 0))</f>
        <v>Ryan Lingo</v>
      </c>
      <c r="G40" s="19" t="str">
        <f>IF(COUNTIF(Sept16!C:C, B40) &gt; 0, "yes", "no")</f>
        <v>yes</v>
      </c>
    </row>
    <row r="41">
      <c r="A41" s="8" t="s">
        <v>521</v>
      </c>
      <c r="B41" s="14">
        <f t="array" ref="B41">index(PIDtoTSN!E:E, match(A41, PIDtoTSN!A:A, 0))</f>
        <v>200184024</v>
      </c>
      <c r="C41" s="8" t="s">
        <v>522</v>
      </c>
      <c r="D41" s="8" t="s">
        <v>523</v>
      </c>
      <c r="E41" s="8" t="s">
        <v>34</v>
      </c>
      <c r="F41" s="19" t="str">
        <f t="array" ref="F41">index('Mentor Choices'!B:B, match(E41, 'Mentor Choices'!A:A, 0))</f>
        <v>Misha Belkin</v>
      </c>
      <c r="G41" s="19" t="str">
        <f>IF(COUNTIF(Sept16!C:C, B41) &gt; 0, "yes", "no")</f>
        <v>yes</v>
      </c>
    </row>
    <row r="42">
      <c r="A42" s="8" t="s">
        <v>155</v>
      </c>
      <c r="B42" s="14">
        <f t="array" ref="B42">index(PIDtoTSN!E:E, match(A42, PIDtoTSN!A:A, 0))</f>
        <v>200184100</v>
      </c>
      <c r="C42" s="8" t="s">
        <v>524</v>
      </c>
      <c r="D42" s="8" t="s">
        <v>525</v>
      </c>
      <c r="E42" s="8" t="s">
        <v>58</v>
      </c>
      <c r="F42" s="19" t="str">
        <f t="array" ref="F42">index('Mentor Choices'!B:B, match(E42, 'Mentor Choices'!A:A, 0))</f>
        <v>Igor Sfiligoi</v>
      </c>
      <c r="G42" s="19" t="str">
        <f>IF(COUNTIF(Sept16!C:C, B42) &gt; 0, "yes", "no")</f>
        <v>yes</v>
      </c>
    </row>
    <row r="43">
      <c r="A43" s="8" t="s">
        <v>333</v>
      </c>
      <c r="B43" s="14">
        <f t="array" ref="B43">index(PIDtoTSN!E:E, match(A43, PIDtoTSN!A:A, 0))</f>
        <v>200184381</v>
      </c>
      <c r="C43" s="8" t="s">
        <v>529</v>
      </c>
      <c r="D43" s="8" t="s">
        <v>530</v>
      </c>
      <c r="E43" s="8" t="s">
        <v>291</v>
      </c>
      <c r="F43" s="19" t="str">
        <f t="array" ref="F43">index('Mentor Choices'!B:B, match(E43, 'Mentor Choices'!A:A, 0))</f>
        <v>Babak Salimi</v>
      </c>
      <c r="G43" s="19" t="str">
        <f>IF(COUNTIF(Sept16!C:C, B43) &gt; 0, "yes", "no")</f>
        <v>yes</v>
      </c>
    </row>
    <row r="44">
      <c r="A44" s="8" t="s">
        <v>332</v>
      </c>
      <c r="B44" s="14">
        <f t="array" ref="B44">index(PIDtoTSN!E:E, match(A44, PIDtoTSN!A:A, 0))</f>
        <v>200184541</v>
      </c>
      <c r="C44" s="8" t="s">
        <v>485</v>
      </c>
      <c r="D44" s="8" t="s">
        <v>484</v>
      </c>
      <c r="E44" s="8" t="s">
        <v>109</v>
      </c>
      <c r="F44" s="19" t="str">
        <f t="array" ref="F44">index('Mentor Choices'!B:B, match(E44, 'Mentor Choices'!A:A, 0))</f>
        <v>Mikio Aoi</v>
      </c>
      <c r="G44" s="19" t="str">
        <f>IF(COUNTIF(Sept16!C:C, B44) &gt; 0, "yes", "no")</f>
        <v>yes</v>
      </c>
    </row>
    <row r="45">
      <c r="A45" s="8" t="s">
        <v>117</v>
      </c>
      <c r="B45" s="14">
        <f t="array" ref="B45">index(PIDtoTSN!E:E, match(A45, PIDtoTSN!A:A, 0))</f>
        <v>200178572</v>
      </c>
      <c r="C45" s="8" t="s">
        <v>538</v>
      </c>
      <c r="D45" s="8" t="s">
        <v>539</v>
      </c>
      <c r="E45" s="8" t="s">
        <v>56</v>
      </c>
      <c r="F45" s="19" t="str">
        <f t="array" ref="F45">index('Mentor Choices'!B:B, match(E45, 'Mentor Choices'!A:A, 0))</f>
        <v>Gabriel Garzo</v>
      </c>
      <c r="G45" s="19" t="str">
        <f>IF(COUNTIF(Sept16!C:C, B45) &gt; 0, "yes", "no")</f>
        <v>yes</v>
      </c>
    </row>
    <row r="46">
      <c r="A46" s="8" t="s">
        <v>516</v>
      </c>
      <c r="B46" s="14">
        <f t="array" ref="B46">index(PIDtoTSN!E:E, match(A46, PIDtoTSN!A:A, 0))</f>
        <v>200178626</v>
      </c>
      <c r="C46" s="8" t="s">
        <v>517</v>
      </c>
      <c r="D46" s="8" t="s">
        <v>515</v>
      </c>
      <c r="E46" s="8" t="s">
        <v>73</v>
      </c>
      <c r="F46" s="19" t="str">
        <f t="array" ref="F46">index('Mentor Choices'!B:B, match(E46, 'Mentor Choices'!A:A, 0))</f>
        <v>Ben Smarr</v>
      </c>
      <c r="G46" s="19" t="str">
        <f>IF(COUNTIF(Sept16!C:C, B46) &gt; 0, "yes", "no")</f>
        <v>yes</v>
      </c>
    </row>
    <row r="47">
      <c r="A47" s="8" t="s">
        <v>543</v>
      </c>
      <c r="B47" s="14">
        <f t="array" ref="B47">index(PIDtoTSN!E:E, match(A47, PIDtoTSN!A:A, 0))</f>
        <v>200179615</v>
      </c>
      <c r="C47" s="8" t="s">
        <v>544</v>
      </c>
      <c r="D47" s="8" t="s">
        <v>545</v>
      </c>
      <c r="E47" s="8" t="s">
        <v>36</v>
      </c>
      <c r="F47" s="19" t="str">
        <f t="array" ref="F47">index('Mentor Choices'!B:B, match(E47, 'Mentor Choices'!A:A, 0))</f>
        <v>Ali Arsanjani</v>
      </c>
      <c r="G47" s="19" t="str">
        <f>IF(COUNTIF(Sept16!C:C, B47) &gt; 0, "yes", "no")</f>
        <v>yes</v>
      </c>
    </row>
    <row r="48">
      <c r="A48" s="8" t="s">
        <v>546</v>
      </c>
      <c r="B48" s="14">
        <f t="array" ref="B48">index(PIDtoTSN!E:E, match(A48, PIDtoTSN!A:A, 0))</f>
        <v>200179741</v>
      </c>
      <c r="C48" s="8" t="s">
        <v>547</v>
      </c>
      <c r="D48" s="8" t="s">
        <v>548</v>
      </c>
      <c r="E48" s="8" t="s">
        <v>36</v>
      </c>
      <c r="F48" s="19" t="str">
        <f t="array" ref="F48">index('Mentor Choices'!B:B, match(E48, 'Mentor Choices'!A:A, 0))</f>
        <v>Ali Arsanjani</v>
      </c>
      <c r="G48" s="19" t="str">
        <f>IF(COUNTIF(Sept16!C:C, B48) &gt; 0, "yes", "no")</f>
        <v>yes</v>
      </c>
    </row>
    <row r="49">
      <c r="A49" s="8" t="s">
        <v>251</v>
      </c>
      <c r="B49" s="14">
        <f t="array" ref="B49">index(PIDtoTSN!E:E, match(A49, PIDtoTSN!A:A, 0))</f>
        <v>200179846</v>
      </c>
      <c r="C49" s="8" t="s">
        <v>552</v>
      </c>
      <c r="D49" s="8" t="s">
        <v>553</v>
      </c>
      <c r="E49" s="8" t="s">
        <v>207</v>
      </c>
      <c r="F49" s="19" t="str">
        <f t="array" ref="F49">index('Mentor Choices'!B:B, match(E49, 'Mentor Choices'!A:A, 0))</f>
        <v>Alex Warstadt</v>
      </c>
      <c r="G49" s="19" t="str">
        <f>IF(COUNTIF(Sept16!C:C, B49) &gt; 0, "yes", "no")</f>
        <v>yes</v>
      </c>
    </row>
    <row r="50">
      <c r="A50" s="8" t="s">
        <v>554</v>
      </c>
      <c r="B50" s="14">
        <f t="array" ref="B50">index(PIDtoTSN!E:E, match(A50, PIDtoTSN!A:A, 0))</f>
        <v>200180289</v>
      </c>
      <c r="C50" s="8" t="s">
        <v>558</v>
      </c>
      <c r="D50" s="8" t="s">
        <v>559</v>
      </c>
      <c r="E50" s="8" t="s">
        <v>289</v>
      </c>
      <c r="F50" s="19" t="str">
        <f t="array" ref="F50">index('Mentor Choices'!B:B, match(E50, 'Mentor Choices'!A:A, 0))</f>
        <v>Yusu Wang</v>
      </c>
      <c r="G50" s="19" t="str">
        <f>IF(COUNTIF(Sept16!C:C, B50) &gt; 0, "yes", "no")</f>
        <v>yes</v>
      </c>
    </row>
    <row r="51">
      <c r="A51" s="8" t="s">
        <v>373</v>
      </c>
      <c r="B51" s="14">
        <f t="array" ref="B51">index(PIDtoTSN!E:E, match(A51, PIDtoTSN!A:A, 0))</f>
        <v>200180794</v>
      </c>
      <c r="C51" s="8" t="s">
        <v>561</v>
      </c>
      <c r="D51" s="8" t="s">
        <v>562</v>
      </c>
      <c r="E51" s="8" t="s">
        <v>52</v>
      </c>
      <c r="F51" s="19" t="str">
        <f t="array" ref="F51">index('Mentor Choices'!B:B, match(E51, 'Mentor Choices'!A:A, 0))</f>
        <v>Renu Raman</v>
      </c>
      <c r="G51" s="19" t="str">
        <f>IF(COUNTIF(Sept16!C:C, B51) &gt; 0, "yes", "no")</f>
        <v>yes</v>
      </c>
    </row>
    <row r="52">
      <c r="A52" s="8" t="s">
        <v>179</v>
      </c>
      <c r="B52" s="14">
        <f t="array" ref="B52">index(PIDtoTSN!E:E, match(A52, PIDtoTSN!A:A, 0))</f>
        <v>200175198</v>
      </c>
      <c r="C52" s="8" t="s">
        <v>566</v>
      </c>
      <c r="D52" s="8" t="s">
        <v>567</v>
      </c>
      <c r="E52" s="8" t="s">
        <v>59</v>
      </c>
      <c r="F52" s="19" t="str">
        <f t="array" ref="F52">index('Mentor Choices'!B:B, match(E52, 'Mentor Choices'!A:A, 0))</f>
        <v>Kyle Nero</v>
      </c>
      <c r="G52" s="19" t="str">
        <f>IF(COUNTIF(Sept16!C:C, B52) &gt; 0, "yes", "no")</f>
        <v>yes</v>
      </c>
    </row>
    <row r="53">
      <c r="A53" s="8" t="s">
        <v>568</v>
      </c>
      <c r="B53" s="14">
        <f t="array" ref="B53">index(PIDtoTSN!E:E, match(A53, PIDtoTSN!A:A, 0))</f>
        <v>200176653</v>
      </c>
      <c r="C53" s="8" t="s">
        <v>569</v>
      </c>
      <c r="D53" s="8" t="s">
        <v>570</v>
      </c>
      <c r="E53" s="8" t="s">
        <v>191</v>
      </c>
      <c r="F53" s="19" t="str">
        <f t="array" ref="F53">index('Mentor Choices'!B:B, match(E53, 'Mentor Choices'!A:A, 0))</f>
        <v>Tauhidur Rahaman</v>
      </c>
      <c r="G53" s="19" t="str">
        <f>IF(COUNTIF(Sept16!C:C, B53) &gt; 0, "yes", "no")</f>
        <v>yes</v>
      </c>
    </row>
    <row r="54">
      <c r="A54" s="8" t="s">
        <v>374</v>
      </c>
      <c r="B54" s="14">
        <f t="array" ref="B54">index(PIDtoTSN!E:E, match(A54, PIDtoTSN!A:A, 0))</f>
        <v>200177014</v>
      </c>
      <c r="C54" s="8" t="s">
        <v>574</v>
      </c>
      <c r="D54" s="8" t="s">
        <v>575</v>
      </c>
      <c r="E54" s="8" t="s">
        <v>52</v>
      </c>
      <c r="F54" s="19" t="str">
        <f t="array" ref="F54">index('Mentor Choices'!B:B, match(E54, 'Mentor Choices'!A:A, 0))</f>
        <v>Renu Raman</v>
      </c>
      <c r="G54" s="19" t="str">
        <f>IF(COUNTIF(Sept16!C:C, B54) &gt; 0, "yes", "no")</f>
        <v>yes</v>
      </c>
    </row>
    <row r="55">
      <c r="A55" s="8" t="s">
        <v>405</v>
      </c>
      <c r="B55" s="14">
        <f t="array" ref="B55">index(PIDtoTSN!E:E, match(A55, PIDtoTSN!A:A, 0))</f>
        <v>200177061</v>
      </c>
      <c r="C55" s="8" t="s">
        <v>579</v>
      </c>
      <c r="D55" s="8" t="s">
        <v>580</v>
      </c>
      <c r="E55" s="8" t="s">
        <v>60</v>
      </c>
      <c r="F55" s="19" t="str">
        <f t="array" ref="F55">index('Mentor Choices'!B:B, match(E55, 'Mentor Choices'!A:A, 0))</f>
        <v>Bijian Arbab</v>
      </c>
      <c r="G55" s="19" t="str">
        <f>IF(COUNTIF(Sept16!C:C, B55) &gt; 0, "yes", "no")</f>
        <v>yes</v>
      </c>
    </row>
    <row r="56">
      <c r="A56" s="8" t="s">
        <v>581</v>
      </c>
      <c r="B56" s="14">
        <f t="array" ref="B56">index(PIDtoTSN!E:E, match(A56, PIDtoTSN!A:A, 0))</f>
        <v>200177460</v>
      </c>
      <c r="C56" s="8" t="s">
        <v>582</v>
      </c>
      <c r="D56" s="8" t="s">
        <v>583</v>
      </c>
      <c r="E56" s="8" t="s">
        <v>110</v>
      </c>
      <c r="F56" s="19" t="str">
        <f t="array" ref="F56">index('Mentor Choices'!B:B, match(E56, 'Mentor Choices'!A:A, 0))</f>
        <v>Emily Aiken</v>
      </c>
      <c r="G56" s="19" t="str">
        <f>IF(COUNTIF(Sept16!C:C, B56) &gt; 0, "yes", "no")</f>
        <v>yes</v>
      </c>
    </row>
    <row r="57">
      <c r="A57" s="8" t="s">
        <v>588</v>
      </c>
      <c r="B57" s="14">
        <f t="array" ref="B57">index(PIDtoTSN!E:E, match(A57, PIDtoTSN!A:A, 0))</f>
        <v>200177656</v>
      </c>
      <c r="C57" s="8" t="s">
        <v>589</v>
      </c>
      <c r="D57" s="8" t="s">
        <v>590</v>
      </c>
      <c r="E57" s="8" t="s">
        <v>289</v>
      </c>
      <c r="F57" s="19" t="str">
        <f t="array" ref="F57">index('Mentor Choices'!B:B, match(E57, 'Mentor Choices'!A:A, 0))</f>
        <v>Yusu Wang</v>
      </c>
      <c r="G57" s="19" t="str">
        <f>IF(COUNTIF(Sept16!C:C, B57) &gt; 0, "yes", "no")</f>
        <v>yes</v>
      </c>
    </row>
    <row r="58">
      <c r="A58" s="8" t="s">
        <v>147</v>
      </c>
      <c r="B58" s="14">
        <f t="array" ref="B58">index(PIDtoTSN!E:E, match(A58, PIDtoTSN!A:A, 0))</f>
        <v>200172335</v>
      </c>
      <c r="C58" s="8" t="s">
        <v>591</v>
      </c>
      <c r="D58" s="8" t="s">
        <v>592</v>
      </c>
      <c r="E58" s="8" t="s">
        <v>191</v>
      </c>
      <c r="F58" s="19" t="str">
        <f t="array" ref="F58">index('Mentor Choices'!B:B, match(E58, 'Mentor Choices'!A:A, 0))</f>
        <v>Tauhidur Rahaman</v>
      </c>
      <c r="G58" s="19" t="str">
        <f>IF(COUNTIF(Sept16!C:C, B58) &gt; 0, "yes", "no")</f>
        <v>yes</v>
      </c>
    </row>
    <row r="59">
      <c r="A59" s="8" t="s">
        <v>599</v>
      </c>
      <c r="B59" s="14">
        <f t="array" ref="B59">index(PIDtoTSN!E:E, match(A59, PIDtoTSN!A:A, 0))</f>
        <v>200172678</v>
      </c>
      <c r="C59" s="8" t="s">
        <v>602</v>
      </c>
      <c r="D59" s="8" t="s">
        <v>603</v>
      </c>
      <c r="E59" s="8" t="s">
        <v>364</v>
      </c>
      <c r="F59" s="19" t="str">
        <f t="array" ref="F59">index('Mentor Choices'!B:B, match(E59, 'Mentor Choices'!A:A, 0))</f>
        <v>Robert Wilderman</v>
      </c>
      <c r="G59" s="19" t="str">
        <f>IF(COUNTIF(Sept16!C:C, B59) &gt; 0, "yes", "no")</f>
        <v>yes</v>
      </c>
    </row>
    <row r="60">
      <c r="A60" s="8" t="s">
        <v>605</v>
      </c>
      <c r="B60" s="14">
        <f t="array" ref="B60">index(PIDtoTSN!E:E, match(A60, PIDtoTSN!A:A, 0))</f>
        <v>200172920</v>
      </c>
      <c r="C60" s="8" t="s">
        <v>607</v>
      </c>
      <c r="D60" s="8" t="s">
        <v>608</v>
      </c>
      <c r="E60" s="8" t="s">
        <v>323</v>
      </c>
      <c r="F60" s="19" t="str">
        <f t="array" ref="F60">index('Mentor Choices'!B:B, match(E60, 'Mentor Choices'!A:A, 0))</f>
        <v>Peter Chi</v>
      </c>
      <c r="G60" s="19" t="str">
        <f>IF(COUNTIF(Sept16!C:C, B60) &gt; 0, "yes", "no")</f>
        <v>yes</v>
      </c>
    </row>
    <row r="61">
      <c r="A61" s="8" t="s">
        <v>618</v>
      </c>
      <c r="B61" s="14">
        <f t="array" ref="B61">index(PIDtoTSN!E:E, match(A61, PIDtoTSN!A:A, 0))</f>
        <v>200173000</v>
      </c>
      <c r="C61" s="8" t="s">
        <v>624</v>
      </c>
      <c r="D61" s="8" t="s">
        <v>626</v>
      </c>
      <c r="E61" s="8" t="s">
        <v>323</v>
      </c>
      <c r="F61" s="19" t="str">
        <f t="array" ref="F61">index('Mentor Choices'!B:B, match(E61, 'Mentor Choices'!A:A, 0))</f>
        <v>Peter Chi</v>
      </c>
      <c r="G61" s="19" t="str">
        <f>IF(COUNTIF(Sept16!C:C, B61) &gt; 0, "yes", "no")</f>
        <v>yes</v>
      </c>
    </row>
    <row r="62">
      <c r="A62" s="8" t="s">
        <v>644</v>
      </c>
      <c r="B62" s="14">
        <f t="array" ref="B62">index(PIDtoTSN!E:E, match(A62, PIDtoTSN!A:A, 0))</f>
        <v>200173174</v>
      </c>
      <c r="C62" s="8" t="s">
        <v>653</v>
      </c>
      <c r="D62" s="8" t="s">
        <v>655</v>
      </c>
      <c r="E62" s="8" t="s">
        <v>341</v>
      </c>
      <c r="F62" s="19" t="str">
        <f t="array" ref="F62">index('Mentor Choices'!B:B, match(E62, 'Mentor Choices'!A:A, 0))</f>
        <v>Arya Mazumdar</v>
      </c>
      <c r="G62" s="19" t="str">
        <f>IF(COUNTIF(Sept16!C:C, B62) &gt; 0, "yes", "no")</f>
        <v>yes</v>
      </c>
    </row>
    <row r="63">
      <c r="A63" s="8" t="s">
        <v>670</v>
      </c>
      <c r="B63" s="14">
        <f t="array" ref="B63">index(PIDtoTSN!E:E, match(A63, PIDtoTSN!A:A, 0))</f>
        <v>200173672</v>
      </c>
      <c r="C63" s="8" t="s">
        <v>674</v>
      </c>
      <c r="D63" s="8" t="s">
        <v>675</v>
      </c>
      <c r="E63" s="8" t="s">
        <v>83</v>
      </c>
      <c r="F63" s="19" t="str">
        <f t="array" ref="F63">index('Mentor Choices'!B:B, match(E63, 'Mentor Choices'!A:A, 0))</f>
        <v>Armin Schwartzman</v>
      </c>
      <c r="G63" s="19" t="str">
        <f>IF(COUNTIF(Sept16!C:C, B63) &gt; 0, "yes", "no")</f>
        <v>yes</v>
      </c>
    </row>
    <row r="64">
      <c r="A64" s="8" t="s">
        <v>419</v>
      </c>
      <c r="B64" s="14">
        <f t="array" ref="B64">index(PIDtoTSN!E:E, match(A64, PIDtoTSN!A:A, 0))</f>
        <v>200174061</v>
      </c>
      <c r="C64" s="8" t="s">
        <v>420</v>
      </c>
      <c r="D64" s="8" t="s">
        <v>418</v>
      </c>
      <c r="E64" s="8" t="s">
        <v>145</v>
      </c>
      <c r="F64" s="19" t="str">
        <f t="array" ref="F64">index('Mentor Choices'!B:B, match(E64, 'Mentor Choices'!A:A, 0))</f>
        <v>Ilyes Meftah</v>
      </c>
      <c r="G64" s="19" t="str">
        <f>IF(COUNTIF(Sept16!C:C, B64) &gt; 0, "yes", "no")</f>
        <v>yes</v>
      </c>
    </row>
    <row r="65">
      <c r="A65" s="8" t="s">
        <v>137</v>
      </c>
      <c r="B65" s="14">
        <f t="array" ref="B65">index(PIDtoTSN!E:E, match(A65, PIDtoTSN!A:A, 0))</f>
        <v>200174091</v>
      </c>
      <c r="C65" s="8" t="s">
        <v>138</v>
      </c>
      <c r="D65" s="8" t="s">
        <v>136</v>
      </c>
      <c r="E65" s="8" t="s">
        <v>36</v>
      </c>
      <c r="F65" s="19" t="str">
        <f t="array" ref="F65">index('Mentor Choices'!B:B, match(E65, 'Mentor Choices'!A:A, 0))</f>
        <v>Ali Arsanjani</v>
      </c>
      <c r="G65" s="19" t="str">
        <f>IF(COUNTIF(Sept16!C:C, B65) &gt; 0, "yes", "no")</f>
        <v>yes</v>
      </c>
    </row>
    <row r="66">
      <c r="A66" s="8" t="s">
        <v>358</v>
      </c>
      <c r="B66" s="14">
        <f t="array" ref="B66">index(PIDtoTSN!E:E, match(A66, PIDtoTSN!A:A, 0))</f>
        <v>200174357</v>
      </c>
      <c r="C66" s="8" t="s">
        <v>682</v>
      </c>
      <c r="D66" s="8" t="s">
        <v>683</v>
      </c>
      <c r="E66" s="8" t="s">
        <v>235</v>
      </c>
      <c r="F66" s="19" t="str">
        <f t="array" ref="F66">index('Mentor Choices'!B:B, match(E66, 'Mentor Choices'!A:A, 0))</f>
        <v>Lily Weng</v>
      </c>
      <c r="G66" s="19" t="str">
        <f>IF(COUNTIF(Sept16!C:C, B66) &gt; 0, "yes", "no")</f>
        <v>yes</v>
      </c>
    </row>
    <row r="67">
      <c r="A67" s="8" t="s">
        <v>248</v>
      </c>
      <c r="B67" s="14">
        <f t="array" ref="B67">index(PIDtoTSN!E:E, match(A67, PIDtoTSN!A:A, 0))</f>
        <v>200174489</v>
      </c>
      <c r="C67" s="8" t="s">
        <v>687</v>
      </c>
      <c r="D67" s="8" t="s">
        <v>688</v>
      </c>
      <c r="E67" s="8" t="s">
        <v>273</v>
      </c>
      <c r="F67" s="19" t="str">
        <f t="array" ref="F67">index('Mentor Choices'!B:B, match(E67, 'Mentor Choices'!A:A, 0))</f>
        <v>Stuart Geiger</v>
      </c>
      <c r="G67" s="19" t="str">
        <f>IF(COUNTIF(Sept16!C:C, B67) &gt; 0, "yes", "no")</f>
        <v>yes</v>
      </c>
    </row>
    <row r="68">
      <c r="A68" s="8" t="s">
        <v>692</v>
      </c>
      <c r="B68" s="14">
        <f t="array" ref="B68">index(PIDtoTSN!E:E, match(A68, PIDtoTSN!A:A, 0))</f>
        <v>200169161</v>
      </c>
      <c r="C68" s="8" t="s">
        <v>693</v>
      </c>
      <c r="D68" s="8" t="s">
        <v>694</v>
      </c>
      <c r="E68" s="8" t="s">
        <v>105</v>
      </c>
      <c r="F68" s="19" t="str">
        <f t="array" ref="F68">index('Mentor Choices'!B:B, match(E68, 'Mentor Choices'!A:A, 0))</f>
        <v>Duncan Watson-Parris</v>
      </c>
      <c r="G68" s="19" t="str">
        <f>IF(COUNTIF(Sept16!C:C, B68) &gt; 0, "yes", "no")</f>
        <v>yes</v>
      </c>
    </row>
    <row r="69">
      <c r="A69" s="8" t="s">
        <v>262</v>
      </c>
      <c r="B69" s="14">
        <f t="array" ref="B69">index(PIDtoTSN!E:E, match(A69, PIDtoTSN!A:A, 0))</f>
        <v>200169744</v>
      </c>
      <c r="C69" s="8" t="s">
        <v>695</v>
      </c>
      <c r="D69" s="8" t="s">
        <v>696</v>
      </c>
      <c r="E69" s="8" t="s">
        <v>83</v>
      </c>
      <c r="F69" s="19" t="str">
        <f t="array" ref="F69">index('Mentor Choices'!B:B, match(E69, 'Mentor Choices'!A:A, 0))</f>
        <v>Armin Schwartzman</v>
      </c>
      <c r="G69" s="19" t="str">
        <f>IF(COUNTIF(Sept16!C:C, B69) &gt; 0, "yes", "no")</f>
        <v>yes</v>
      </c>
    </row>
    <row r="70">
      <c r="A70" s="8" t="s">
        <v>252</v>
      </c>
      <c r="B70" s="14">
        <f t="array" ref="B70">index(PIDtoTSN!E:E, match(A70, PIDtoTSN!A:A, 0))</f>
        <v>200170066</v>
      </c>
      <c r="C70" s="8" t="s">
        <v>700</v>
      </c>
      <c r="D70" s="8" t="s">
        <v>701</v>
      </c>
      <c r="E70" s="8" t="s">
        <v>207</v>
      </c>
      <c r="F70" s="19" t="str">
        <f t="array" ref="F70">index('Mentor Choices'!B:B, match(E70, 'Mentor Choices'!A:A, 0))</f>
        <v>Alex Warstadt</v>
      </c>
      <c r="G70" s="19" t="str">
        <f>IF(COUNTIF(Sept16!C:C, B70) &gt; 0, "yes", "no")</f>
        <v>yes</v>
      </c>
    </row>
    <row r="71">
      <c r="A71" s="8" t="s">
        <v>160</v>
      </c>
      <c r="B71" s="14">
        <f t="array" ref="B71">index(PIDtoTSN!E:E, match(A71, PIDtoTSN!A:A, 0))</f>
        <v>200170214</v>
      </c>
      <c r="C71" s="8" t="s">
        <v>705</v>
      </c>
      <c r="D71" s="8" t="s">
        <v>706</v>
      </c>
      <c r="E71" s="8" t="s">
        <v>58</v>
      </c>
      <c r="F71" s="19" t="str">
        <f t="array" ref="F71">index('Mentor Choices'!B:B, match(E71, 'Mentor Choices'!A:A, 0))</f>
        <v>Igor Sfiligoi</v>
      </c>
      <c r="G71" s="19" t="str">
        <f>IF(COUNTIF(Sept16!C:C, B71) &gt; 0, "yes", "no")</f>
        <v>yes</v>
      </c>
    </row>
    <row r="72">
      <c r="A72" s="8" t="s">
        <v>615</v>
      </c>
      <c r="B72" s="14">
        <f t="array" ref="B72">index(PIDtoTSN!E:E, match(A72, PIDtoTSN!A:A, 0))</f>
        <v>200170241</v>
      </c>
      <c r="C72" s="8" t="s">
        <v>616</v>
      </c>
      <c r="D72" s="8" t="s">
        <v>617</v>
      </c>
      <c r="E72" s="8" t="s">
        <v>34</v>
      </c>
      <c r="F72" s="19" t="str">
        <f t="array" ref="F72">index('Mentor Choices'!B:B, match(E72, 'Mentor Choices'!A:A, 0))</f>
        <v>Misha Belkin</v>
      </c>
      <c r="G72" s="19" t="str">
        <f>IF(COUNTIF(Sept16!C:C, B72) &gt; 0, "yes", "no")</f>
        <v>yes</v>
      </c>
    </row>
    <row r="73">
      <c r="A73" s="8" t="s">
        <v>711</v>
      </c>
      <c r="B73" s="14">
        <f t="array" ref="B73">index(PIDtoTSN!E:E, match(A73, PIDtoTSN!A:A, 0))</f>
        <v>200170378</v>
      </c>
      <c r="C73" s="8" t="s">
        <v>541</v>
      </c>
      <c r="D73" s="8" t="s">
        <v>540</v>
      </c>
      <c r="E73" s="8" t="s">
        <v>80</v>
      </c>
      <c r="F73" s="19" t="str">
        <f t="array" ref="F73">index('Mentor Choices'!B:B, match(E73, 'Mentor Choices'!A:A, 0))</f>
        <v>Biwei Huang</v>
      </c>
      <c r="G73" s="19" t="str">
        <f>IF(COUNTIF(Sept16!C:C, B73) &gt; 0, "yes", "no")</f>
        <v>yes</v>
      </c>
    </row>
    <row r="74">
      <c r="A74" s="8" t="s">
        <v>285</v>
      </c>
      <c r="B74" s="14">
        <f t="array" ref="B74">index(PIDtoTSN!E:E, match(A74, PIDtoTSN!A:A, 0))</f>
        <v>200170388</v>
      </c>
      <c r="C74" s="8" t="s">
        <v>715</v>
      </c>
      <c r="D74" s="8" t="s">
        <v>716</v>
      </c>
      <c r="E74" s="8" t="s">
        <v>54</v>
      </c>
      <c r="F74" s="19" t="str">
        <f t="array" ref="F74">index('Mentor Choices'!B:B, match(E74, 'Mentor Choices'!A:A, 0))</f>
        <v>Ryan Lingo</v>
      </c>
      <c r="G74" s="19" t="str">
        <f>IF(COUNTIF(Sept16!C:C, B74) &gt; 0, "yes", "no")</f>
        <v>yes</v>
      </c>
    </row>
    <row r="75">
      <c r="A75" s="8" t="s">
        <v>150</v>
      </c>
      <c r="B75" s="14">
        <f t="array" ref="B75">index(PIDtoTSN!E:E, match(A75, PIDtoTSN!A:A, 0))</f>
        <v>200170572</v>
      </c>
      <c r="C75" s="8" t="s">
        <v>720</v>
      </c>
      <c r="D75" s="8" t="s">
        <v>721</v>
      </c>
      <c r="E75" s="8" t="s">
        <v>336</v>
      </c>
      <c r="F75" s="19" t="str">
        <f t="array" ref="F75">index('Mentor Choices'!B:B, match(E75, 'Mentor Choices'!A:A, 0))</f>
        <v>Zhijian Liu</v>
      </c>
      <c r="G75" s="19" t="str">
        <f>IF(COUNTIF(Sept16!C:C, B75) &gt; 0, "yes", "no")</f>
        <v>yes</v>
      </c>
    </row>
    <row r="76">
      <c r="A76" s="8" t="s">
        <v>402</v>
      </c>
      <c r="B76" s="51">
        <v>2.00171055E8</v>
      </c>
      <c r="C76" s="8" t="s">
        <v>722</v>
      </c>
      <c r="D76" s="8" t="s">
        <v>723</v>
      </c>
      <c r="E76" s="8" t="s">
        <v>60</v>
      </c>
      <c r="F76" s="19" t="str">
        <f t="array" ref="F76">index('Mentor Choices'!B:B, match(E76, 'Mentor Choices'!A:A, 0))</f>
        <v>Bijian Arbab</v>
      </c>
      <c r="G76" s="19" t="str">
        <f>IF(COUNTIF(Sept16!C:C, B76) &gt; 0, "yes", "no")</f>
        <v>yes</v>
      </c>
    </row>
    <row r="77">
      <c r="A77" s="8" t="s">
        <v>725</v>
      </c>
      <c r="B77" s="14">
        <f t="array" ref="B77">index(PIDtoTSN!E:E, match(A77, PIDtoTSN!A:A, 0))</f>
        <v>200171563</v>
      </c>
      <c r="C77" s="8" t="s">
        <v>726</v>
      </c>
      <c r="D77" s="8" t="s">
        <v>727</v>
      </c>
      <c r="E77" s="8" t="s">
        <v>36</v>
      </c>
      <c r="F77" s="19" t="str">
        <f t="array" ref="F77">index('Mentor Choices'!B:B, match(E77, 'Mentor Choices'!A:A, 0))</f>
        <v>Ali Arsanjani</v>
      </c>
      <c r="G77" s="19" t="str">
        <f>IF(COUNTIF(Sept16!C:C, B77) &gt; 0, "yes", "no")</f>
        <v>yes</v>
      </c>
    </row>
    <row r="78">
      <c r="A78" s="8" t="s">
        <v>238</v>
      </c>
      <c r="B78" s="14">
        <f t="array" ref="B78">index(PIDtoTSN!E:E, match(A78, PIDtoTSN!A:A, 0))</f>
        <v>200171712</v>
      </c>
      <c r="C78" s="8" t="s">
        <v>728</v>
      </c>
      <c r="D78" s="8" t="s">
        <v>729</v>
      </c>
      <c r="E78" s="8" t="s">
        <v>197</v>
      </c>
      <c r="F78" s="19" t="str">
        <f t="array" ref="F78">index('Mentor Choices'!B:B, match(E78, 'Mentor Choices'!A:A, 0))</f>
        <v>Victor Minces</v>
      </c>
      <c r="G78" s="19" t="str">
        <f>IF(COUNTIF(Sept16!C:C, B78) &gt; 0, "yes", "no")</f>
        <v>yes</v>
      </c>
    </row>
    <row r="79">
      <c r="A79" s="8" t="s">
        <v>359</v>
      </c>
      <c r="B79" s="14">
        <f t="array" ref="B79">index(PIDtoTSN!E:E, match(A79, PIDtoTSN!A:A, 0))</f>
        <v>200165952</v>
      </c>
      <c r="C79" s="8" t="s">
        <v>731</v>
      </c>
      <c r="D79" s="8" t="s">
        <v>732</v>
      </c>
      <c r="E79" s="8" t="s">
        <v>235</v>
      </c>
      <c r="F79" s="19" t="str">
        <f t="array" ref="F79">index('Mentor Choices'!B:B, match(E79, 'Mentor Choices'!A:A, 0))</f>
        <v>Lily Weng</v>
      </c>
      <c r="G79" s="19" t="str">
        <f>IF(COUNTIF(Sept16!C:C, B79) &gt; 0, "yes", "no")</f>
        <v>yes</v>
      </c>
    </row>
    <row r="80">
      <c r="A80" s="8" t="s">
        <v>733</v>
      </c>
      <c r="B80" s="14">
        <f t="array" ref="B80">index(PIDtoTSN!E:E, match(A80, PIDtoTSN!A:A, 0))</f>
        <v>200166124</v>
      </c>
      <c r="C80" s="8" t="s">
        <v>735</v>
      </c>
      <c r="D80" s="8" t="s">
        <v>736</v>
      </c>
      <c r="E80" s="8" t="s">
        <v>36</v>
      </c>
      <c r="F80" s="19" t="str">
        <f t="array" ref="F80">index('Mentor Choices'!B:B, match(E80, 'Mentor Choices'!A:A, 0))</f>
        <v>Ali Arsanjani</v>
      </c>
      <c r="G80" s="19" t="str">
        <f>IF(COUNTIF(Sept16!C:C, B80) &gt; 0, "yes", "no")</f>
        <v>yes</v>
      </c>
    </row>
    <row r="81">
      <c r="A81" s="8" t="s">
        <v>265</v>
      </c>
      <c r="B81" s="14">
        <f t="array" ref="B81">index(PIDtoTSN!E:E, match(A81, PIDtoTSN!A:A, 0))</f>
        <v>200166132</v>
      </c>
      <c r="C81" s="8" t="s">
        <v>737</v>
      </c>
      <c r="D81" s="8" t="s">
        <v>738</v>
      </c>
      <c r="E81" s="8" t="s">
        <v>83</v>
      </c>
      <c r="F81" s="19" t="str">
        <f t="array" ref="F81">index('Mentor Choices'!B:B, match(E81, 'Mentor Choices'!A:A, 0))</f>
        <v>Armin Schwartzman</v>
      </c>
      <c r="G81" s="19" t="str">
        <f>IF(COUNTIF(Sept16!C:C, B81) &gt; 0, "yes", "no")</f>
        <v>yes</v>
      </c>
    </row>
    <row r="82">
      <c r="A82" s="8" t="s">
        <v>261</v>
      </c>
      <c r="B82" s="14">
        <f t="array" ref="B82">index(PIDtoTSN!E:E, match(A82, PIDtoTSN!A:A, 0))</f>
        <v>200166275</v>
      </c>
      <c r="C82" s="8" t="s">
        <v>740</v>
      </c>
      <c r="D82" s="8" t="s">
        <v>741</v>
      </c>
      <c r="E82" s="8" t="s">
        <v>83</v>
      </c>
      <c r="F82" s="19" t="str">
        <f t="array" ref="F82">index('Mentor Choices'!B:B, match(E82, 'Mentor Choices'!A:A, 0))</f>
        <v>Armin Schwartzman</v>
      </c>
      <c r="G82" s="19" t="str">
        <f>IF(COUNTIF(Sept16!C:C, B82) &gt; 0, "yes", "no")</f>
        <v>yes</v>
      </c>
    </row>
    <row r="83">
      <c r="A83" s="8" t="s">
        <v>188</v>
      </c>
      <c r="B83" s="14">
        <f t="array" ref="B83">index(PIDtoTSN!E:E, match(A83, PIDtoTSN!A:A, 0))</f>
        <v>200166599</v>
      </c>
      <c r="C83" s="8" t="s">
        <v>745</v>
      </c>
      <c r="D83" s="8" t="s">
        <v>746</v>
      </c>
      <c r="E83" s="8" t="s">
        <v>59</v>
      </c>
      <c r="F83" s="19" t="str">
        <f t="array" ref="F83">index('Mentor Choices'!B:B, match(E83, 'Mentor Choices'!A:A, 0))</f>
        <v>Kyle Nero</v>
      </c>
      <c r="G83" s="19" t="str">
        <f>IF(COUNTIF(Sept16!C:C, B83) &gt; 0, "yes", "no")</f>
        <v>yes</v>
      </c>
    </row>
    <row r="84">
      <c r="A84" s="8" t="s">
        <v>747</v>
      </c>
      <c r="B84" s="14">
        <f t="array" ref="B84">index(PIDtoTSN!E:E, match(A84, PIDtoTSN!A:A, 0))</f>
        <v>200166617</v>
      </c>
      <c r="C84" s="8" t="s">
        <v>748</v>
      </c>
      <c r="D84" s="8" t="s">
        <v>749</v>
      </c>
      <c r="E84" s="8" t="s">
        <v>169</v>
      </c>
      <c r="F84" s="19" t="str">
        <f t="array" ref="F84">index('Mentor Choices'!B:B, match(E84, 'Mentor Choices'!A:A, 0))</f>
        <v>Rob Knight</v>
      </c>
      <c r="G84" s="19" t="str">
        <f>IF(COUNTIF(Sept16!C:C, B84) &gt; 0, "yes", "no")</f>
        <v>yes</v>
      </c>
    </row>
    <row r="85">
      <c r="A85" s="8" t="s">
        <v>753</v>
      </c>
      <c r="B85" s="14">
        <f t="array" ref="B85">index(PIDtoTSN!E:E, match(A85, PIDtoTSN!A:A, 0))</f>
        <v>200167419</v>
      </c>
      <c r="C85" s="8" t="s">
        <v>754</v>
      </c>
      <c r="D85" s="8" t="s">
        <v>755</v>
      </c>
      <c r="E85" s="8" t="s">
        <v>60</v>
      </c>
      <c r="F85" s="19" t="str">
        <f t="array" ref="F85">index('Mentor Choices'!B:B, match(E85, 'Mentor Choices'!A:A, 0))</f>
        <v>Bijian Arbab</v>
      </c>
      <c r="G85" s="19" t="str">
        <f>IF(COUNTIF(Sept16!C:C, B85) &gt; 0, "yes", "no")</f>
        <v>yes</v>
      </c>
    </row>
    <row r="86">
      <c r="A86" s="8" t="s">
        <v>254</v>
      </c>
      <c r="B86" s="14">
        <f t="array" ref="B86">index(PIDtoTSN!E:E, match(A86, PIDtoTSN!A:A, 0))</f>
        <v>200167432</v>
      </c>
      <c r="C86" s="8" t="s">
        <v>759</v>
      </c>
      <c r="D86" s="8" t="s">
        <v>760</v>
      </c>
      <c r="E86" s="8" t="s">
        <v>54</v>
      </c>
      <c r="F86" s="19" t="str">
        <f t="array" ref="F86">index('Mentor Choices'!B:B, match(E86, 'Mentor Choices'!A:A, 0))</f>
        <v>Ryan Lingo</v>
      </c>
      <c r="G86" s="19" t="str">
        <f>IF(COUNTIF(Sept16!C:C, B86) &gt; 0, "yes", "no")</f>
        <v>yes</v>
      </c>
    </row>
    <row r="87">
      <c r="A87" s="8" t="s">
        <v>620</v>
      </c>
      <c r="B87" s="14">
        <f t="array" ref="B87">index(PIDtoTSN!E:E, match(A87, PIDtoTSN!A:A, 0))</f>
        <v>200167681</v>
      </c>
      <c r="C87" s="8" t="s">
        <v>621</v>
      </c>
      <c r="D87" s="8" t="s">
        <v>622</v>
      </c>
      <c r="E87" s="8" t="s">
        <v>34</v>
      </c>
      <c r="F87" s="19" t="str">
        <f t="array" ref="F87">index('Mentor Choices'!B:B, match(E87, 'Mentor Choices'!A:A, 0))</f>
        <v>Misha Belkin</v>
      </c>
      <c r="G87" s="19" t="str">
        <f>IF(COUNTIF(Sept16!C:C, B87) &gt; 0, "yes", "no")</f>
        <v>yes</v>
      </c>
    </row>
    <row r="88">
      <c r="A88" s="8" t="s">
        <v>181</v>
      </c>
      <c r="B88" s="14">
        <f t="array" ref="B88">index(PIDtoTSN!E:E, match(A88, PIDtoTSN!A:A, 0))</f>
        <v>200167956</v>
      </c>
      <c r="C88" s="8" t="s">
        <v>764</v>
      </c>
      <c r="D88" s="8" t="s">
        <v>765</v>
      </c>
      <c r="E88" s="8" t="s">
        <v>59</v>
      </c>
      <c r="F88" s="19" t="str">
        <f t="array" ref="F88">index('Mentor Choices'!B:B, match(E88, 'Mentor Choices'!A:A, 0))</f>
        <v>Kyle Nero</v>
      </c>
      <c r="G88" s="19" t="str">
        <f>IF(COUNTIF(Sept16!C:C, B88) &gt; 0, "yes", "no")</f>
        <v>yes</v>
      </c>
    </row>
    <row r="89">
      <c r="A89" s="8" t="s">
        <v>441</v>
      </c>
      <c r="B89" s="14">
        <f t="array" ref="B89">index(PIDtoTSN!E:E, match(A89, PIDtoTSN!A:A, 0))</f>
        <v>200168381</v>
      </c>
      <c r="C89" s="8" t="s">
        <v>442</v>
      </c>
      <c r="D89" s="8" t="s">
        <v>440</v>
      </c>
      <c r="E89" s="8" t="s">
        <v>289</v>
      </c>
      <c r="F89" s="19" t="str">
        <f t="array" ref="F89">index('Mentor Choices'!B:B, match(E89, 'Mentor Choices'!A:A, 0))</f>
        <v>Yusu Wang</v>
      </c>
      <c r="G89" s="19" t="str">
        <f>IF(COUNTIF(Sept16!C:C, B89) &gt; 0, "yes", "no")</f>
        <v>yes</v>
      </c>
    </row>
    <row r="90">
      <c r="A90" s="8" t="s">
        <v>778</v>
      </c>
      <c r="B90" s="14">
        <f t="array" ref="B90">index(PIDtoTSN!E:E, match(A90, PIDtoTSN!A:A, 0))</f>
        <v>200168433</v>
      </c>
      <c r="C90" s="8" t="s">
        <v>785</v>
      </c>
      <c r="D90" s="8" t="s">
        <v>786</v>
      </c>
      <c r="E90" s="8" t="s">
        <v>148</v>
      </c>
      <c r="F90" s="19" t="str">
        <f t="array" ref="F90">index('Mentor Choices'!B:B, match(E90, 'Mentor Choices'!A:A, 0))</f>
        <v>Rayan Saab</v>
      </c>
      <c r="G90" s="19" t="str">
        <f>IF(COUNTIF(Sept16!C:C, B90) &gt; 0, "yes", "no")</f>
        <v>yes</v>
      </c>
    </row>
    <row r="91">
      <c r="A91" s="8" t="s">
        <v>796</v>
      </c>
      <c r="B91" s="14">
        <f t="array" ref="B91">index(PIDtoTSN!E:E, match(A91, PIDtoTSN!A:A, 0))</f>
        <v>200168478</v>
      </c>
      <c r="C91" s="8" t="s">
        <v>798</v>
      </c>
      <c r="D91" s="8" t="s">
        <v>799</v>
      </c>
      <c r="E91" s="8" t="s">
        <v>105</v>
      </c>
      <c r="F91" s="19" t="str">
        <f t="array" ref="F91">index('Mentor Choices'!B:B, match(E91, 'Mentor Choices'!A:A, 0))</f>
        <v>Duncan Watson-Parris</v>
      </c>
      <c r="G91" s="19" t="str">
        <f>IF(COUNTIF(Sept16!C:C, B91) &gt; 0, "yes", "no")</f>
        <v>yes</v>
      </c>
    </row>
    <row r="92">
      <c r="A92" s="8" t="s">
        <v>250</v>
      </c>
      <c r="B92" s="14">
        <f t="array" ref="B92">index(PIDtoTSN!E:E, match(A92, PIDtoTSN!A:A, 0))</f>
        <v>200168497</v>
      </c>
      <c r="C92" s="8" t="s">
        <v>810</v>
      </c>
      <c r="D92" s="8" t="s">
        <v>811</v>
      </c>
      <c r="E92" s="8" t="s">
        <v>83</v>
      </c>
      <c r="F92" s="19" t="str">
        <f t="array" ref="F92">index('Mentor Choices'!B:B, match(E92, 'Mentor Choices'!A:A, 0))</f>
        <v>Armin Schwartzman</v>
      </c>
      <c r="G92" s="19" t="str">
        <f>IF(COUNTIF(Sept16!C:C, B92) &gt; 0, "yes", "no")</f>
        <v>yes</v>
      </c>
    </row>
    <row r="93">
      <c r="A93" s="8" t="s">
        <v>821</v>
      </c>
      <c r="B93" s="14">
        <f t="array" ref="B93">index(PIDtoTSN!E:E, match(A93, PIDtoTSN!A:A, 0))</f>
        <v>200168658</v>
      </c>
      <c r="C93" s="8" t="s">
        <v>826</v>
      </c>
      <c r="D93" s="8" t="s">
        <v>829</v>
      </c>
      <c r="E93" s="8" t="s">
        <v>110</v>
      </c>
      <c r="F93" s="19" t="str">
        <f t="array" ref="F93">index('Mentor Choices'!B:B, match(E93, 'Mentor Choices'!A:A, 0))</f>
        <v>Emily Aiken</v>
      </c>
      <c r="G93" s="19" t="str">
        <f>IF(COUNTIF(Sept16!C:C, B93) &gt; 0, "yes", "no")</f>
        <v>yes</v>
      </c>
    </row>
    <row r="94">
      <c r="A94" s="8" t="s">
        <v>306</v>
      </c>
      <c r="B94" s="14">
        <f t="array" ref="B94">index(PIDtoTSN!E:E, match(A94, PIDtoTSN!A:A, 0))</f>
        <v>200168747</v>
      </c>
      <c r="C94" s="8" t="s">
        <v>308</v>
      </c>
      <c r="D94" s="8" t="s">
        <v>304</v>
      </c>
      <c r="E94" s="8" t="s">
        <v>55</v>
      </c>
      <c r="F94" s="19" t="str">
        <f t="array" ref="F94">index('Mentor Choices'!B:B, match(E94, 'Mentor Choices'!A:A, 0))</f>
        <v>Haojian Jin</v>
      </c>
      <c r="G94" s="19" t="str">
        <f>IF(COUNTIF(Sept16!C:C, B94) &gt; 0, "yes", "no")</f>
        <v>yes</v>
      </c>
    </row>
    <row r="95">
      <c r="A95" s="8" t="s">
        <v>848</v>
      </c>
      <c r="B95" s="14">
        <f t="array" ref="B95">index(PIDtoTSN!E:E, match(A95, PIDtoTSN!A:A, 0))</f>
        <v>200168795</v>
      </c>
      <c r="C95" s="8" t="s">
        <v>851</v>
      </c>
      <c r="D95" s="8" t="s">
        <v>852</v>
      </c>
      <c r="E95" s="8" t="s">
        <v>80</v>
      </c>
      <c r="F95" s="19" t="str">
        <f t="array" ref="F95">index('Mentor Choices'!B:B, match(E95, 'Mentor Choices'!A:A, 0))</f>
        <v>Biwei Huang</v>
      </c>
      <c r="G95" s="19" t="str">
        <f>IF(COUNTIF(Sept16!C:C, B95) &gt; 0, "yes", "no")</f>
        <v>yes</v>
      </c>
    </row>
    <row r="96">
      <c r="A96" s="8" t="s">
        <v>334</v>
      </c>
      <c r="B96" s="14">
        <f t="array" ref="B96">index(PIDtoTSN!E:E, match(A96, PIDtoTSN!A:A, 0))</f>
        <v>200162846</v>
      </c>
      <c r="C96" s="8" t="s">
        <v>864</v>
      </c>
      <c r="D96" s="8" t="s">
        <v>865</v>
      </c>
      <c r="E96" s="8" t="s">
        <v>235</v>
      </c>
      <c r="F96" s="19" t="str">
        <f t="array" ref="F96">index('Mentor Choices'!B:B, match(E96, 'Mentor Choices'!A:A, 0))</f>
        <v>Lily Weng</v>
      </c>
      <c r="G96" s="19" t="str">
        <f>IF(COUNTIF(Sept16!C:C, B96) &gt; 0, "yes", "no")</f>
        <v>yes</v>
      </c>
    </row>
    <row r="97">
      <c r="A97" s="8" t="s">
        <v>128</v>
      </c>
      <c r="B97" s="14">
        <f t="array" ref="B97">index(PIDtoTSN!E:E, match(A97, PIDtoTSN!A:A, 0))</f>
        <v>200162955</v>
      </c>
      <c r="C97" s="8" t="s">
        <v>680</v>
      </c>
      <c r="D97" s="8" t="s">
        <v>679</v>
      </c>
      <c r="E97" s="8" t="s">
        <v>289</v>
      </c>
      <c r="F97" s="19" t="str">
        <f t="array" ref="F97">index('Mentor Choices'!B:B, match(E97, 'Mentor Choices'!A:A, 0))</f>
        <v>Yusu Wang</v>
      </c>
      <c r="G97" s="19" t="str">
        <f>IF(COUNTIF(Sept16!C:C, B97) &gt; 0, "yes", "no")</f>
        <v>yes</v>
      </c>
    </row>
    <row r="98">
      <c r="A98" s="8" t="s">
        <v>96</v>
      </c>
      <c r="B98" s="14">
        <f t="array" ref="B98">index(PIDtoTSN!E:E, match(A98, PIDtoTSN!A:A, 0))</f>
        <v>200162969</v>
      </c>
      <c r="C98" s="8" t="s">
        <v>884</v>
      </c>
      <c r="D98" s="8" t="s">
        <v>885</v>
      </c>
      <c r="E98" s="8" t="s">
        <v>54</v>
      </c>
      <c r="F98" s="19" t="str">
        <f t="array" ref="F98">index('Mentor Choices'!B:B, match(E98, 'Mentor Choices'!A:A, 0))</f>
        <v>Ryan Lingo</v>
      </c>
      <c r="G98" s="19" t="str">
        <f>IF(COUNTIF(Sept16!C:C, B98) &gt; 0, "yes", "no")</f>
        <v>yes</v>
      </c>
    </row>
    <row r="99">
      <c r="A99" s="8" t="s">
        <v>895</v>
      </c>
      <c r="B99" s="14">
        <f t="array" ref="B99">index(PIDtoTSN!E:E, match(A99, PIDtoTSN!A:A, 0))</f>
        <v>200163243</v>
      </c>
      <c r="C99" s="8" t="s">
        <v>896</v>
      </c>
      <c r="D99" s="8" t="s">
        <v>897</v>
      </c>
      <c r="E99" s="8" t="s">
        <v>145</v>
      </c>
      <c r="F99" s="19" t="str">
        <f t="array" ref="F99">index('Mentor Choices'!B:B, match(E99, 'Mentor Choices'!A:A, 0))</f>
        <v>Ilyes Meftah</v>
      </c>
      <c r="G99" s="19" t="str">
        <f>IF(COUNTIF(Sept16!C:C, B99) &gt; 0, "yes", "no")</f>
        <v>yes</v>
      </c>
    </row>
    <row r="100">
      <c r="A100" s="8" t="s">
        <v>216</v>
      </c>
      <c r="B100" s="14">
        <f t="array" ref="B100">index(PIDtoTSN!E:E, match(A100, PIDtoTSN!A:A, 0))</f>
        <v>200164450</v>
      </c>
      <c r="C100" s="8" t="s">
        <v>217</v>
      </c>
      <c r="D100" s="8" t="s">
        <v>215</v>
      </c>
      <c r="E100" s="8" t="s">
        <v>36</v>
      </c>
      <c r="F100" s="19" t="str">
        <f t="array" ref="F100">index('Mentor Choices'!B:B, match(E100, 'Mentor Choices'!A:A, 0))</f>
        <v>Ali Arsanjani</v>
      </c>
      <c r="G100" s="19" t="str">
        <f>IF(COUNTIF(Sept16!C:C, B100) &gt; 0, "yes", "no")</f>
        <v>yes</v>
      </c>
    </row>
    <row r="101">
      <c r="A101" s="8" t="s">
        <v>267</v>
      </c>
      <c r="B101" s="14">
        <f t="array" ref="B101">index(PIDtoTSN!E:E, match(A101, PIDtoTSN!A:A, 0))</f>
        <v>200164826</v>
      </c>
      <c r="C101" s="8" t="s">
        <v>269</v>
      </c>
      <c r="D101" s="8" t="s">
        <v>266</v>
      </c>
      <c r="E101" s="8" t="s">
        <v>110</v>
      </c>
      <c r="F101" s="19" t="str">
        <f t="array" ref="F101">index('Mentor Choices'!B:B, match(E101, 'Mentor Choices'!A:A, 0))</f>
        <v>Emily Aiken</v>
      </c>
      <c r="G101" s="19" t="str">
        <f>IF(COUNTIF(Sept16!C:C, B101) &gt; 0, "yes", "no")</f>
        <v>yes</v>
      </c>
    </row>
    <row r="102">
      <c r="A102" s="8" t="s">
        <v>199</v>
      </c>
      <c r="B102" s="14">
        <f t="array" ref="B102">index(PIDtoTSN!E:E, match(A102, PIDtoTSN!A:A, 0))</f>
        <v>200164903</v>
      </c>
      <c r="C102" s="8" t="s">
        <v>577</v>
      </c>
      <c r="D102" s="8" t="s">
        <v>576</v>
      </c>
      <c r="E102" s="8" t="s">
        <v>105</v>
      </c>
      <c r="F102" s="19" t="str">
        <f t="array" ref="F102">index('Mentor Choices'!B:B, match(E102, 'Mentor Choices'!A:A, 0))</f>
        <v>Duncan Watson-Parris</v>
      </c>
      <c r="G102" s="19" t="str">
        <f>IF(COUNTIF(Sept16!C:C, B102) &gt; 0, "yes", "no")</f>
        <v>yes</v>
      </c>
    </row>
    <row r="103">
      <c r="A103" s="8" t="s">
        <v>920</v>
      </c>
      <c r="B103" s="14">
        <f t="array" ref="B103">index(PIDtoTSN!E:E, match(A103, PIDtoTSN!A:A, 0))</f>
        <v>200164928</v>
      </c>
      <c r="C103" s="8" t="s">
        <v>926</v>
      </c>
      <c r="D103" s="8" t="s">
        <v>928</v>
      </c>
      <c r="E103" s="8" t="s">
        <v>323</v>
      </c>
      <c r="F103" s="19" t="str">
        <f t="array" ref="F103">index('Mentor Choices'!B:B, match(E103, 'Mentor Choices'!A:A, 0))</f>
        <v>Peter Chi</v>
      </c>
      <c r="G103" s="19" t="str">
        <f>IF(COUNTIF(Sept16!C:C, B103) &gt; 0, "yes", "no")</f>
        <v>yes</v>
      </c>
    </row>
    <row r="104">
      <c r="A104" s="8" t="s">
        <v>162</v>
      </c>
      <c r="B104" s="14">
        <f t="array" ref="B104">index(PIDtoTSN!E:E, match(A104, PIDtoTSN!A:A, 0))</f>
        <v>200165233</v>
      </c>
      <c r="C104" s="8" t="s">
        <v>940</v>
      </c>
      <c r="D104" s="8" t="s">
        <v>941</v>
      </c>
      <c r="E104" s="8" t="s">
        <v>171</v>
      </c>
      <c r="F104" s="19" t="str">
        <f t="array" ref="F104">index('Mentor Choices'!B:B, match(E104, 'Mentor Choices'!A:A, 0))</f>
        <v>Reem Khojah</v>
      </c>
      <c r="G104" s="19" t="str">
        <f>IF(COUNTIF(Sept16!C:C, B104) &gt; 0, "yes", "no")</f>
        <v>yes</v>
      </c>
    </row>
    <row r="105">
      <c r="A105" s="8" t="s">
        <v>299</v>
      </c>
      <c r="B105" s="14">
        <f t="array" ref="B105">index(PIDtoTSN!E:E, match(A105, PIDtoTSN!A:A, 0))</f>
        <v>200159728</v>
      </c>
      <c r="C105" s="8" t="s">
        <v>947</v>
      </c>
      <c r="D105" s="8" t="s">
        <v>948</v>
      </c>
      <c r="E105" s="8" t="s">
        <v>82</v>
      </c>
      <c r="F105" s="19" t="str">
        <f t="array" ref="F105">index('Mentor Choices'!B:B, match(E105, 'Mentor Choices'!A:A, 0))</f>
        <v>Jingbo Shang</v>
      </c>
      <c r="G105" s="19" t="str">
        <f>IF(COUNTIF(Sept16!C:C, B105) &gt; 0, "yes", "no")</f>
        <v>yes</v>
      </c>
    </row>
    <row r="106">
      <c r="A106" s="8" t="s">
        <v>213</v>
      </c>
      <c r="B106" s="14">
        <f t="array" ref="B106">index(PIDtoTSN!E:E, match(A106, PIDtoTSN!A:A, 0))</f>
        <v>200160508</v>
      </c>
      <c r="C106" s="8" t="s">
        <v>955</v>
      </c>
      <c r="D106" s="8" t="s">
        <v>957</v>
      </c>
      <c r="E106" s="8" t="s">
        <v>148</v>
      </c>
      <c r="F106" s="19" t="str">
        <f t="array" ref="F106">index('Mentor Choices'!B:B, match(E106, 'Mentor Choices'!A:A, 0))</f>
        <v>Rayan Saab</v>
      </c>
      <c r="G106" s="19" t="str">
        <f>IF(COUNTIF(Sept16!C:C, B106) &gt; 0, "yes", "no")</f>
        <v>yes</v>
      </c>
    </row>
    <row r="107">
      <c r="A107" s="8" t="s">
        <v>371</v>
      </c>
      <c r="B107" s="14">
        <f t="array" ref="B107">index(PIDtoTSN!E:E, match(A107, PIDtoTSN!A:A, 0))</f>
        <v>200160647</v>
      </c>
      <c r="C107" s="8" t="s">
        <v>972</v>
      </c>
      <c r="D107" s="8" t="s">
        <v>973</v>
      </c>
      <c r="E107" s="8" t="s">
        <v>51</v>
      </c>
      <c r="F107" s="19" t="str">
        <f t="array" ref="F107">index('Mentor Choices'!B:B, match(E107, 'Mentor Choices'!A:A, 0))</f>
        <v>Renu Raman</v>
      </c>
      <c r="G107" s="19" t="str">
        <f>IF(COUNTIF(Sept16!C:C, B107) &gt; 0, "yes", "no")</f>
        <v>yes</v>
      </c>
    </row>
    <row r="108">
      <c r="A108" s="8" t="s">
        <v>981</v>
      </c>
      <c r="B108" s="14">
        <f t="array" ref="B108">index(PIDtoTSN!E:E, match(A108, PIDtoTSN!A:A, 0))</f>
        <v>200160765</v>
      </c>
      <c r="C108" s="8" t="s">
        <v>985</v>
      </c>
      <c r="D108" s="8" t="s">
        <v>986</v>
      </c>
      <c r="E108" s="8" t="s">
        <v>305</v>
      </c>
      <c r="F108" s="19" t="str">
        <f t="array" ref="F108">index('Mentor Choices'!B:B, match(E108, 'Mentor Choices'!A:A, 0))</f>
        <v>Rajesh Gupta</v>
      </c>
      <c r="G108" s="19" t="str">
        <f>IF(COUNTIF(Sept16!C:C, B108) &gt; 0, "yes", "no")</f>
        <v>yes</v>
      </c>
    </row>
    <row r="109">
      <c r="A109" s="8" t="s">
        <v>425</v>
      </c>
      <c r="B109" s="14">
        <f t="array" ref="B109">index(PIDtoTSN!E:E, match(A109, PIDtoTSN!A:A, 0))</f>
        <v>200161135</v>
      </c>
      <c r="C109" s="8" t="s">
        <v>426</v>
      </c>
      <c r="D109" s="8" t="s">
        <v>424</v>
      </c>
      <c r="E109" s="8" t="s">
        <v>132</v>
      </c>
      <c r="F109" s="19" t="str">
        <f t="array" ref="F109">index('Mentor Choices'!B:B, match(E109, 'Mentor Choices'!A:A, 0))</f>
        <v>Tianhao Wang</v>
      </c>
      <c r="G109" s="19" t="str">
        <f>IF(COUNTIF(Sept16!C:C, B109) &gt; 0, "yes", "no")</f>
        <v>yes</v>
      </c>
    </row>
    <row r="110">
      <c r="A110" s="8" t="s">
        <v>214</v>
      </c>
      <c r="B110" s="14">
        <f t="array" ref="B110">index(PIDtoTSN!E:E, match(A110, PIDtoTSN!A:A, 0))</f>
        <v>200161275</v>
      </c>
      <c r="C110" s="8" t="s">
        <v>1008</v>
      </c>
      <c r="D110" s="8" t="s">
        <v>1009</v>
      </c>
      <c r="E110" s="8" t="s">
        <v>148</v>
      </c>
      <c r="F110" s="19" t="str">
        <f t="array" ref="F110">index('Mentor Choices'!B:B, match(E110, 'Mentor Choices'!A:A, 0))</f>
        <v>Rayan Saab</v>
      </c>
      <c r="G110" s="19" t="str">
        <f>IF(COUNTIF(Sept16!C:C, B110) &gt; 0, "yes", "no")</f>
        <v>yes</v>
      </c>
    </row>
    <row r="111">
      <c r="A111" s="8" t="s">
        <v>246</v>
      </c>
      <c r="B111" s="14">
        <f t="array" ref="B111">index(PIDtoTSN!E:E, match(A111, PIDtoTSN!A:A, 0))</f>
        <v>200161391</v>
      </c>
      <c r="C111" s="8" t="s">
        <v>1018</v>
      </c>
      <c r="D111" s="8" t="s">
        <v>1020</v>
      </c>
      <c r="E111" s="8" t="s">
        <v>207</v>
      </c>
      <c r="F111" s="19" t="str">
        <f t="array" ref="F111">index('Mentor Choices'!B:B, match(E111, 'Mentor Choices'!A:A, 0))</f>
        <v>Alex Warstadt</v>
      </c>
      <c r="G111" s="19" t="str">
        <f>IF(COUNTIF(Sept16!C:C, B111) &gt; 0, "yes", "no")</f>
        <v>yes</v>
      </c>
    </row>
    <row r="112">
      <c r="A112" s="8" t="s">
        <v>331</v>
      </c>
      <c r="B112" s="14">
        <f t="array" ref="B112">index(PIDtoTSN!E:E, match(A112, PIDtoTSN!A:A, 0))</f>
        <v>200161521</v>
      </c>
      <c r="C112" s="8" t="s">
        <v>1028</v>
      </c>
      <c r="D112" s="8" t="s">
        <v>1030</v>
      </c>
      <c r="E112" s="8" t="s">
        <v>83</v>
      </c>
      <c r="F112" s="19" t="str">
        <f t="array" ref="F112">index('Mentor Choices'!B:B, match(E112, 'Mentor Choices'!A:A, 0))</f>
        <v>Armin Schwartzman</v>
      </c>
      <c r="G112" s="19" t="str">
        <f>IF(COUNTIF(Sept16!C:C, B112) &gt; 0, "yes", "no")</f>
        <v>yes</v>
      </c>
    </row>
    <row r="113">
      <c r="A113" s="8" t="s">
        <v>375</v>
      </c>
      <c r="B113" s="14">
        <f t="array" ref="B113">index(PIDtoTSN!E:E, match(A113, PIDtoTSN!A:A, 0))</f>
        <v>200161621</v>
      </c>
      <c r="C113" s="8" t="s">
        <v>1039</v>
      </c>
      <c r="D113" s="8" t="s">
        <v>1040</v>
      </c>
      <c r="E113" s="8" t="s">
        <v>52</v>
      </c>
      <c r="F113" s="19" t="str">
        <f t="array" ref="F113">index('Mentor Choices'!B:B, match(E113, 'Mentor Choices'!A:A, 0))</f>
        <v>Renu Raman</v>
      </c>
      <c r="G113" s="19" t="str">
        <f>IF(COUNTIF(Sept16!C:C, B113) &gt; 0, "yes", "no")</f>
        <v>yes</v>
      </c>
    </row>
    <row r="114">
      <c r="A114" s="8" t="s">
        <v>180</v>
      </c>
      <c r="B114" s="14">
        <f t="array" ref="B114">index(PIDtoTSN!E:E, match(A114, PIDtoTSN!A:A, 0))</f>
        <v>200161763</v>
      </c>
      <c r="C114" s="8" t="s">
        <v>182</v>
      </c>
      <c r="D114" s="8" t="s">
        <v>178</v>
      </c>
      <c r="E114" s="8" t="s">
        <v>36</v>
      </c>
      <c r="F114" s="19" t="str">
        <f t="array" ref="F114">index('Mentor Choices'!B:B, match(E114, 'Mentor Choices'!A:A, 0))</f>
        <v>Ali Arsanjani</v>
      </c>
      <c r="G114" s="19" t="str">
        <f>IF(COUNTIF(Sept16!C:C, B114) &gt; 0, "yes", "no")</f>
        <v>yes</v>
      </c>
    </row>
    <row r="115">
      <c r="A115" s="8" t="s">
        <v>461</v>
      </c>
      <c r="B115" s="14">
        <f t="array" ref="B115">index(PIDtoTSN!E:E, match(A115, PIDtoTSN!A:A, 0))</f>
        <v>200162254</v>
      </c>
      <c r="C115" s="8" t="s">
        <v>462</v>
      </c>
      <c r="D115" s="8" t="s">
        <v>460</v>
      </c>
      <c r="E115" s="8" t="s">
        <v>166</v>
      </c>
      <c r="F115" s="19" t="str">
        <f t="array" ref="F115">index('Mentor Choices'!B:B, match(E115, 'Mentor Choices'!A:A, 0))</f>
        <v>Nathan Hui</v>
      </c>
      <c r="G115" s="19" t="str">
        <f>IF(COUNTIF(Sept16!C:C, B115) &gt; 0, "yes", "no")</f>
        <v>yes</v>
      </c>
    </row>
    <row r="116">
      <c r="A116" s="8" t="s">
        <v>144</v>
      </c>
      <c r="B116" s="14">
        <f t="array" ref="B116">index(PIDtoTSN!E:E, match(A116, PIDtoTSN!A:A, 0))</f>
        <v>200162298</v>
      </c>
      <c r="C116" s="8" t="s">
        <v>1067</v>
      </c>
      <c r="D116" s="8" t="s">
        <v>1068</v>
      </c>
      <c r="E116" s="8" t="s">
        <v>70</v>
      </c>
      <c r="F116" s="19" t="str">
        <f t="array" ref="F116">index('Mentor Choices'!B:B, match(E116, 'Mentor Choices'!A:A, 0))</f>
        <v>Aobo Li</v>
      </c>
      <c r="G116" s="19" t="str">
        <f>IF(COUNTIF(Sept16!C:C, B116) &gt; 0, "yes", "no")</f>
        <v>yes</v>
      </c>
    </row>
    <row r="117">
      <c r="A117" s="8" t="s">
        <v>95</v>
      </c>
      <c r="B117" s="14">
        <f t="array" ref="B117">index(PIDtoTSN!E:E, match(A117, PIDtoTSN!A:A, 0))</f>
        <v>200162375</v>
      </c>
      <c r="C117" s="8" t="s">
        <v>1075</v>
      </c>
      <c r="D117" s="8" t="s">
        <v>1076</v>
      </c>
      <c r="E117" s="8" t="s">
        <v>191</v>
      </c>
      <c r="F117" s="19" t="str">
        <f t="array" ref="F117">index('Mentor Choices'!B:B, match(E117, 'Mentor Choices'!A:A, 0))</f>
        <v>Tauhidur Rahaman</v>
      </c>
      <c r="G117" s="19" t="str">
        <f>IF(COUNTIF(Sept16!C:C, B117) &gt; 0, "yes", "no")</f>
        <v>yes</v>
      </c>
    </row>
    <row r="118">
      <c r="A118" s="8" t="s">
        <v>1084</v>
      </c>
      <c r="B118" s="14">
        <f t="array" ref="B118">index(PIDtoTSN!E:E, match(A118, PIDtoTSN!A:A, 0))</f>
        <v>200162425</v>
      </c>
      <c r="C118" s="8" t="s">
        <v>1088</v>
      </c>
      <c r="D118" s="8" t="s">
        <v>1089</v>
      </c>
      <c r="E118" s="8" t="s">
        <v>364</v>
      </c>
      <c r="F118" s="19" t="str">
        <f t="array" ref="F118">index('Mentor Choices'!B:B, match(E118, 'Mentor Choices'!A:A, 0))</f>
        <v>Robert Wilderman</v>
      </c>
      <c r="G118" s="19" t="str">
        <f>IF(COUNTIF(Sept16!C:C, B118) &gt; 0, "yes", "no")</f>
        <v>yes</v>
      </c>
    </row>
    <row r="119">
      <c r="A119" s="8" t="s">
        <v>434</v>
      </c>
      <c r="B119" s="14">
        <f t="array" ref="B119">index(PIDtoTSN!E:E, match(A119, PIDtoTSN!A:A, 0))</f>
        <v>200162446</v>
      </c>
      <c r="C119" s="8" t="s">
        <v>435</v>
      </c>
      <c r="D119" s="8" t="s">
        <v>433</v>
      </c>
      <c r="E119" s="8" t="s">
        <v>145</v>
      </c>
      <c r="F119" s="19" t="str">
        <f t="array" ref="F119">index('Mentor Choices'!B:B, match(E119, 'Mentor Choices'!A:A, 0))</f>
        <v>Ilyes Meftah</v>
      </c>
      <c r="G119" s="19" t="str">
        <f>IF(COUNTIF(Sept16!C:C, B119) &gt; 0, "yes", "no")</f>
        <v>yes</v>
      </c>
    </row>
    <row r="120">
      <c r="A120" s="8" t="s">
        <v>384</v>
      </c>
      <c r="B120" s="14">
        <f t="array" ref="B120">index(PIDtoTSN!E:E, match(A120, PIDtoTSN!A:A, 0))</f>
        <v>200162586</v>
      </c>
      <c r="C120" s="8" t="s">
        <v>1104</v>
      </c>
      <c r="D120" s="8" t="s">
        <v>1105</v>
      </c>
      <c r="E120" s="8" t="s">
        <v>82</v>
      </c>
      <c r="F120" s="19" t="str">
        <f t="array" ref="F120">index('Mentor Choices'!B:B, match(E120, 'Mentor Choices'!A:A, 0))</f>
        <v>Jingbo Shang</v>
      </c>
      <c r="G120" s="19" t="str">
        <f>IF(COUNTIF(Sept16!C:C, B120) &gt; 0, "yes", "no")</f>
        <v>yes</v>
      </c>
    </row>
    <row r="121">
      <c r="A121" s="8" t="s">
        <v>121</v>
      </c>
      <c r="B121" s="14">
        <f t="array" ref="B121">index(PIDtoTSN!E:E, match(A121, PIDtoTSN!A:A, 0))</f>
        <v>200162650</v>
      </c>
      <c r="C121" s="8" t="s">
        <v>703</v>
      </c>
      <c r="D121" s="8" t="s">
        <v>702</v>
      </c>
      <c r="E121" s="8" t="s">
        <v>56</v>
      </c>
      <c r="F121" s="19" t="str">
        <f t="array" ref="F121">index('Mentor Choices'!B:B, match(E121, 'Mentor Choices'!A:A, 0))</f>
        <v>Gabriel Garzo</v>
      </c>
      <c r="G121" s="19" t="str">
        <f>IF(COUNTIF(Sept16!C:C, B121) &gt; 0, "yes", "no")</f>
        <v>yes</v>
      </c>
    </row>
    <row r="122">
      <c r="A122" s="8" t="s">
        <v>283</v>
      </c>
      <c r="B122" s="14">
        <f t="array" ref="B122">index(PIDtoTSN!E:E, match(A122, PIDtoTSN!A:A, 0))</f>
        <v>200162658</v>
      </c>
      <c r="C122" s="8" t="s">
        <v>1128</v>
      </c>
      <c r="D122" s="8" t="s">
        <v>1129</v>
      </c>
      <c r="E122" s="8" t="s">
        <v>53</v>
      </c>
      <c r="F122" s="19" t="str">
        <f t="array" ref="F122">index('Mentor Choices'!B:B, match(E122, 'Mentor Choices'!A:A, 0))</f>
        <v>Dusan Bosnjakovic</v>
      </c>
      <c r="G122" s="19" t="str">
        <f>IF(COUNTIF(Sept16!C:C, B122) &gt; 0, "yes", "no")</f>
        <v>yes</v>
      </c>
    </row>
    <row r="123">
      <c r="A123" s="8" t="s">
        <v>287</v>
      </c>
      <c r="B123" s="14">
        <f t="array" ref="B123">index(PIDtoTSN!E:E, match(A123, PIDtoTSN!A:A, 0))</f>
        <v>200156821</v>
      </c>
      <c r="C123" s="8" t="s">
        <v>1137</v>
      </c>
      <c r="D123" s="8" t="s">
        <v>1138</v>
      </c>
      <c r="E123" s="8" t="s">
        <v>53</v>
      </c>
      <c r="F123" s="19" t="str">
        <f t="array" ref="F123">index('Mentor Choices'!B:B, match(E123, 'Mentor Choices'!A:A, 0))</f>
        <v>Dusan Bosnjakovic</v>
      </c>
      <c r="G123" s="19" t="str">
        <f>IF(COUNTIF(Sept16!C:C, B123) &gt; 0, "yes", "no")</f>
        <v>yes</v>
      </c>
    </row>
    <row r="124">
      <c r="A124" s="8" t="s">
        <v>247</v>
      </c>
      <c r="B124" s="14">
        <f t="array" ref="B124">index(PIDtoTSN!E:E, match(A124, PIDtoTSN!A:A, 0))</f>
        <v>200157112</v>
      </c>
      <c r="C124" s="8" t="s">
        <v>399</v>
      </c>
      <c r="D124" s="8" t="s">
        <v>398</v>
      </c>
      <c r="E124" s="8" t="s">
        <v>36</v>
      </c>
      <c r="F124" s="19" t="str">
        <f t="array" ref="F124">index('Mentor Choices'!B:B, match(E124, 'Mentor Choices'!A:A, 0))</f>
        <v>Ali Arsanjani</v>
      </c>
      <c r="G124" s="19" t="str">
        <f>IF(COUNTIF(Sept16!C:C, B124) &gt; 0, "yes", "no")</f>
        <v>yes</v>
      </c>
    </row>
    <row r="125">
      <c r="A125" s="8" t="s">
        <v>229</v>
      </c>
      <c r="B125" s="14">
        <f t="array" ref="B125">index(PIDtoTSN!E:E, match(A125, PIDtoTSN!A:A, 0))</f>
        <v>200157691</v>
      </c>
      <c r="C125" s="8" t="s">
        <v>1146</v>
      </c>
      <c r="D125" s="8" t="s">
        <v>1147</v>
      </c>
      <c r="E125" s="8" t="s">
        <v>66</v>
      </c>
      <c r="F125" s="19" t="str">
        <f t="array" ref="F125">index('Mentor Choices'!B:B, match(E125, 'Mentor Choices'!A:A, 0))</f>
        <v>Tiffany Amariuta</v>
      </c>
      <c r="G125" s="19" t="str">
        <f>IF(COUNTIF(Sept16!C:C, B125) &gt; 0, "yes", "no")</f>
        <v>yes</v>
      </c>
    </row>
    <row r="126">
      <c r="A126" s="8" t="s">
        <v>198</v>
      </c>
      <c r="B126" s="14">
        <f t="array" ref="B126">index(PIDtoTSN!E:E, match(A126, PIDtoTSN!A:A, 0))</f>
        <v>200158463</v>
      </c>
      <c r="C126" s="8" t="s">
        <v>994</v>
      </c>
      <c r="D126" s="8" t="s">
        <v>993</v>
      </c>
      <c r="E126" s="8" t="s">
        <v>166</v>
      </c>
      <c r="F126" s="19" t="str">
        <f t="array" ref="F126">index('Mentor Choices'!B:B, match(E126, 'Mentor Choices'!A:A, 0))</f>
        <v>Nathan Hui</v>
      </c>
      <c r="G126" s="19" t="str">
        <f>IF(COUNTIF(Sept16!C:C, B126) &gt; 0, "yes", "no")</f>
        <v>yes</v>
      </c>
    </row>
    <row r="127">
      <c r="A127" s="8" t="s">
        <v>122</v>
      </c>
      <c r="B127" s="14">
        <f t="array" ref="B127">index(PIDtoTSN!E:E, match(A127, PIDtoTSN!A:A, 0))</f>
        <v>200158544</v>
      </c>
      <c r="C127" s="8" t="s">
        <v>1157</v>
      </c>
      <c r="D127" s="8" t="s">
        <v>1158</v>
      </c>
      <c r="E127" s="8" t="s">
        <v>56</v>
      </c>
      <c r="F127" s="19" t="str">
        <f t="array" ref="F127">index('Mentor Choices'!B:B, match(E127, 'Mentor Choices'!A:A, 0))</f>
        <v>Gabriel Garzo</v>
      </c>
      <c r="G127" s="19" t="str">
        <f>IF(COUNTIF(Sept16!C:C, B127) &gt; 0, "yes", "no")</f>
        <v>yes</v>
      </c>
    </row>
    <row r="128">
      <c r="A128" s="8" t="s">
        <v>89</v>
      </c>
      <c r="B128" s="14">
        <f t="array" ref="B128">index(PIDtoTSN!E:E, match(A128, PIDtoTSN!A:A, 0))</f>
        <v>200158827</v>
      </c>
      <c r="C128" s="8" t="s">
        <v>91</v>
      </c>
      <c r="D128" s="8" t="s">
        <v>86</v>
      </c>
      <c r="E128" s="8" t="s">
        <v>36</v>
      </c>
      <c r="F128" s="19" t="str">
        <f t="array" ref="F128">index('Mentor Choices'!B:B, match(E128, 'Mentor Choices'!A:A, 0))</f>
        <v>Ali Arsanjani</v>
      </c>
      <c r="G128" s="19" t="str">
        <f>IF(COUNTIF(Sept16!C:C, B128) &gt; 0, "yes", "no")</f>
        <v>yes</v>
      </c>
    </row>
    <row r="129">
      <c r="A129" s="8" t="s">
        <v>330</v>
      </c>
      <c r="B129" s="14">
        <f t="array" ref="B129">index(PIDtoTSN!E:E, match(A129, PIDtoTSN!A:A, 0))</f>
        <v>200159113</v>
      </c>
      <c r="C129" s="8" t="s">
        <v>1161</v>
      </c>
      <c r="D129" s="8" t="s">
        <v>1162</v>
      </c>
      <c r="E129" s="8" t="s">
        <v>291</v>
      </c>
      <c r="F129" s="19" t="str">
        <f t="array" ref="F129">index('Mentor Choices'!B:B, match(E129, 'Mentor Choices'!A:A, 0))</f>
        <v>Babak Salimi</v>
      </c>
      <c r="G129" s="19" t="str">
        <f>IF(COUNTIF(Sept16!C:C, B129) &gt; 0, "yes", "no")</f>
        <v>yes</v>
      </c>
    </row>
    <row r="130">
      <c r="A130" s="8" t="s">
        <v>1164</v>
      </c>
      <c r="B130" s="14">
        <f t="array" ref="B130">index(PIDtoTSN!E:E, match(A130, PIDtoTSN!A:A, 0))</f>
        <v>200153327</v>
      </c>
      <c r="C130" s="8" t="s">
        <v>1169</v>
      </c>
      <c r="D130" s="8" t="s">
        <v>1170</v>
      </c>
      <c r="E130" s="8" t="s">
        <v>53</v>
      </c>
      <c r="F130" s="19" t="str">
        <f t="array" ref="F130">index('Mentor Choices'!B:B, match(E130, 'Mentor Choices'!A:A, 0))</f>
        <v>Dusan Bosnjakovic</v>
      </c>
      <c r="G130" s="19" t="str">
        <f>IF(COUNTIF(Sept16!C:C, B130) &gt; 0, "yes", "no")</f>
        <v>yes</v>
      </c>
    </row>
    <row r="131">
      <c r="A131" s="8" t="s">
        <v>237</v>
      </c>
      <c r="B131" s="14">
        <f t="array" ref="B131">index(PIDtoTSN!E:E, match(A131, PIDtoTSN!A:A, 0))</f>
        <v>200153616</v>
      </c>
      <c r="C131" s="8" t="s">
        <v>1172</v>
      </c>
      <c r="D131" s="8" t="s">
        <v>1173</v>
      </c>
      <c r="E131" s="8" t="s">
        <v>197</v>
      </c>
      <c r="F131" s="19" t="str">
        <f t="array" ref="F131">index('Mentor Choices'!B:B, match(E131, 'Mentor Choices'!A:A, 0))</f>
        <v>Victor Minces</v>
      </c>
      <c r="G131" s="19" t="str">
        <f>IF(COUNTIF(Sept16!C:C, B131) &gt; 0, "yes", "no")</f>
        <v>yes</v>
      </c>
    </row>
    <row r="132">
      <c r="A132" s="8" t="s">
        <v>1177</v>
      </c>
      <c r="B132" s="14">
        <f t="array" ref="B132">index(PIDtoTSN!E:E, match(A132, PIDtoTSN!A:A, 0))</f>
        <v>200153660</v>
      </c>
      <c r="C132" s="8" t="s">
        <v>1178</v>
      </c>
      <c r="D132" s="8" t="s">
        <v>1179</v>
      </c>
      <c r="E132" s="8" t="s">
        <v>85</v>
      </c>
      <c r="F132" s="19" t="str">
        <f t="array" ref="F132">index('Mentor Choices'!B:B, match(E132, 'Mentor Choices'!A:A, 0))</f>
        <v>Yoav Freund</v>
      </c>
      <c r="G132" s="19" t="str">
        <f>IF(COUNTIF(Sept16!C:C, B132) &gt; 0, "yes", "no")</f>
        <v>yes</v>
      </c>
    </row>
    <row r="133">
      <c r="A133" s="8" t="s">
        <v>311</v>
      </c>
      <c r="B133" s="14">
        <f t="array" ref="B133">index(PIDtoTSN!E:E, match(A133, PIDtoTSN!A:A, 0))</f>
        <v>200154225</v>
      </c>
      <c r="C133" s="8" t="s">
        <v>1185</v>
      </c>
      <c r="D133" s="8" t="s">
        <v>1186</v>
      </c>
      <c r="E133" s="8" t="s">
        <v>54</v>
      </c>
      <c r="F133" s="19" t="str">
        <f t="array" ref="F133">index('Mentor Choices'!B:B, match(E133, 'Mentor Choices'!A:A, 0))</f>
        <v>Ryan Lingo</v>
      </c>
      <c r="G133" s="19" t="str">
        <f>IF(COUNTIF(Sept16!C:C, B133) &gt; 0, "yes", "no")</f>
        <v>yes</v>
      </c>
    </row>
    <row r="134">
      <c r="A134" s="8" t="s">
        <v>79</v>
      </c>
      <c r="B134" s="14">
        <f t="array" ref="B134">index(PIDtoTSN!E:E, match(A134, PIDtoTSN!A:A, 0))</f>
        <v>200154819</v>
      </c>
      <c r="C134" s="8" t="s">
        <v>527</v>
      </c>
      <c r="D134" s="8" t="s">
        <v>526</v>
      </c>
      <c r="E134" s="8" t="s">
        <v>73</v>
      </c>
      <c r="F134" s="19" t="str">
        <f t="array" ref="F134">index('Mentor Choices'!B:B, match(E134, 'Mentor Choices'!A:A, 0))</f>
        <v>Ben Smarr</v>
      </c>
      <c r="G134" s="19" t="str">
        <f>IF(COUNTIF(Sept16!C:C, B134) &gt; 0, "yes", "no")</f>
        <v>yes</v>
      </c>
    </row>
    <row r="135">
      <c r="A135" s="8" t="s">
        <v>378</v>
      </c>
      <c r="B135" s="14">
        <f t="array" ref="B135">index(PIDtoTSN!E:E, match(A135, PIDtoTSN!A:A, 0))</f>
        <v>200155064</v>
      </c>
      <c r="C135" s="8" t="s">
        <v>1193</v>
      </c>
      <c r="D135" s="8" t="s">
        <v>1194</v>
      </c>
      <c r="E135" s="8" t="s">
        <v>336</v>
      </c>
      <c r="F135" s="19" t="str">
        <f t="array" ref="F135">index('Mentor Choices'!B:B, match(E135, 'Mentor Choices'!A:A, 0))</f>
        <v>Zhijian Liu</v>
      </c>
      <c r="G135" s="19" t="str">
        <f>IF(COUNTIF(Sept16!C:C, B135) &gt; 0, "yes", "no")</f>
        <v>yes</v>
      </c>
    </row>
    <row r="136">
      <c r="A136" s="8" t="s">
        <v>1196</v>
      </c>
      <c r="B136" s="14">
        <f t="array" ref="B136">index(PIDtoTSN!E:E, match(A136, PIDtoTSN!A:A, 0))</f>
        <v>200155307</v>
      </c>
      <c r="C136" s="8" t="s">
        <v>1197</v>
      </c>
      <c r="D136" s="8" t="s">
        <v>1198</v>
      </c>
      <c r="E136" s="8" t="s">
        <v>51</v>
      </c>
      <c r="F136" s="19" t="str">
        <f t="array" ref="F136">index('Mentor Choices'!B:B, match(E136, 'Mentor Choices'!A:A, 0))</f>
        <v>Renu Raman</v>
      </c>
      <c r="G136" s="19" t="str">
        <f>IF(COUNTIF(Sept16!C:C, B136) &gt; 0, "yes", "no")</f>
        <v>yes</v>
      </c>
    </row>
    <row r="137">
      <c r="A137" s="8" t="s">
        <v>627</v>
      </c>
      <c r="B137" s="14">
        <f t="array" ref="B137">index(PIDtoTSN!E:E, match(A137, PIDtoTSN!A:A, 0))</f>
        <v>200156279</v>
      </c>
      <c r="C137" s="8" t="s">
        <v>628</v>
      </c>
      <c r="D137" s="8" t="s">
        <v>629</v>
      </c>
      <c r="E137" s="8" t="s">
        <v>289</v>
      </c>
      <c r="F137" s="19" t="str">
        <f t="array" ref="F137">index('Mentor Choices'!B:B, match(E137, 'Mentor Choices'!A:A, 0))</f>
        <v>Yusu Wang</v>
      </c>
      <c r="G137" s="19" t="str">
        <f>IF(COUNTIF(Sept16!C:C, B137) &gt; 0, "yes", "no")</f>
        <v>yes</v>
      </c>
    </row>
    <row r="138">
      <c r="A138" s="8" t="s">
        <v>631</v>
      </c>
      <c r="B138" s="14">
        <f t="array" ref="B138">index(PIDtoTSN!E:E, match(A138, PIDtoTSN!A:A, 0))</f>
        <v>200156360</v>
      </c>
      <c r="C138" s="8" t="s">
        <v>632</v>
      </c>
      <c r="D138" s="8" t="s">
        <v>633</v>
      </c>
      <c r="E138" s="8" t="s">
        <v>126</v>
      </c>
      <c r="F138" s="19" t="str">
        <f t="array" ref="F138">index('Mentor Choices'!B:B, match(E138, 'Mentor Choices'!A:A, 0))</f>
        <v>Igor Sfiligoi</v>
      </c>
      <c r="G138" s="19" t="str">
        <f>IF(COUNTIF(Sept16!C:C, B138) &gt; 0, "yes", "no")</f>
        <v>yes</v>
      </c>
    </row>
    <row r="139">
      <c r="A139" s="8" t="s">
        <v>491</v>
      </c>
      <c r="B139" s="14">
        <f t="array" ref="B139">index(PIDtoTSN!E:E, match(A139, PIDtoTSN!A:A, 0))</f>
        <v>200150813</v>
      </c>
      <c r="C139" s="8" t="s">
        <v>492</v>
      </c>
      <c r="D139" s="8" t="s">
        <v>490</v>
      </c>
      <c r="E139" s="8" t="s">
        <v>70</v>
      </c>
      <c r="F139" s="19" t="str">
        <f t="array" ref="F139">index('Mentor Choices'!B:B, match(E139, 'Mentor Choices'!A:A, 0))</f>
        <v>Aobo Li</v>
      </c>
      <c r="G139" s="19" t="str">
        <f>IF(COUNTIF(Sept16!C:C, B139) &gt; 0, "yes", "no")</f>
        <v>yes</v>
      </c>
    </row>
    <row r="140">
      <c r="A140" s="8" t="s">
        <v>309</v>
      </c>
      <c r="B140" s="14">
        <f t="array" ref="B140">index(PIDtoTSN!E:E, match(A140, PIDtoTSN!A:A, 0))</f>
        <v>200151008</v>
      </c>
      <c r="C140" s="8" t="s">
        <v>1216</v>
      </c>
      <c r="D140" s="8" t="s">
        <v>1217</v>
      </c>
      <c r="E140" s="8" t="s">
        <v>54</v>
      </c>
      <c r="F140" s="19" t="str">
        <f t="array" ref="F140">index('Mentor Choices'!B:B, match(E140, 'Mentor Choices'!A:A, 0))</f>
        <v>Ryan Lingo</v>
      </c>
      <c r="G140" s="19" t="str">
        <f>IF(COUNTIF(Sept16!C:C, B140) &gt; 0, "yes", "no")</f>
        <v>yes</v>
      </c>
    </row>
    <row r="141">
      <c r="A141" s="8" t="s">
        <v>259</v>
      </c>
      <c r="B141" s="14">
        <f t="array" ref="B141">index(PIDtoTSN!E:E, match(A141, PIDtoTSN!A:A, 0))</f>
        <v>200151385</v>
      </c>
      <c r="C141" s="8" t="s">
        <v>1222</v>
      </c>
      <c r="D141" s="8" t="s">
        <v>1223</v>
      </c>
      <c r="E141" s="8" t="s">
        <v>83</v>
      </c>
      <c r="F141" s="19" t="str">
        <f t="array" ref="F141">index('Mentor Choices'!B:B, match(E141, 'Mentor Choices'!A:A, 0))</f>
        <v>Armin Schwartzman</v>
      </c>
      <c r="G141" s="19" t="str">
        <f>IF(COUNTIF(Sept16!C:C, B141) &gt; 0, "yes", "no")</f>
        <v>yes</v>
      </c>
    </row>
    <row r="142">
      <c r="A142" s="8" t="s">
        <v>205</v>
      </c>
      <c r="B142" s="14">
        <f t="array" ref="B142">index(PIDtoTSN!E:E, match(A142, PIDtoTSN!A:A, 0))</f>
        <v>200151398</v>
      </c>
      <c r="C142" s="8" t="s">
        <v>1208</v>
      </c>
      <c r="D142" s="8" t="s">
        <v>1207</v>
      </c>
      <c r="E142" s="8" t="s">
        <v>197</v>
      </c>
      <c r="F142" s="19" t="str">
        <f t="array" ref="F142">index('Mentor Choices'!B:B, match(E142, 'Mentor Choices'!A:A, 0))</f>
        <v>Victor Minces</v>
      </c>
      <c r="G142" s="19" t="str">
        <f>IF(COUNTIF(Sept16!C:C, B142) &gt; 0, "yes", "no")</f>
        <v>yes</v>
      </c>
    </row>
    <row r="143">
      <c r="A143" s="8" t="s">
        <v>1231</v>
      </c>
      <c r="B143" s="14">
        <f t="array" ref="B143">index(PIDtoTSN!E:E, match(A143, PIDtoTSN!A:A, 0))</f>
        <v>200151899</v>
      </c>
      <c r="C143" s="8" t="s">
        <v>1232</v>
      </c>
      <c r="D143" s="8" t="s">
        <v>1233</v>
      </c>
      <c r="E143" s="8" t="s">
        <v>336</v>
      </c>
      <c r="F143" s="19" t="str">
        <f t="array" ref="F143">index('Mentor Choices'!B:B, match(E143, 'Mentor Choices'!A:A, 0))</f>
        <v>Zhijian Liu</v>
      </c>
      <c r="G143" s="19" t="str">
        <f>IF(COUNTIF(Sept16!C:C, B143) &gt; 0, "yes", "no")</f>
        <v>yes</v>
      </c>
    </row>
    <row r="144">
      <c r="A144" s="8" t="s">
        <v>275</v>
      </c>
      <c r="B144" s="14">
        <f t="array" ref="B144">index(PIDtoTSN!E:E, match(A144, PIDtoTSN!A:A, 0))</f>
        <v>200152279</v>
      </c>
      <c r="C144" s="8" t="s">
        <v>1235</v>
      </c>
      <c r="D144" s="8" t="s">
        <v>1236</v>
      </c>
      <c r="E144" s="8" t="s">
        <v>55</v>
      </c>
      <c r="F144" s="19" t="str">
        <f t="array" ref="F144">index('Mentor Choices'!B:B, match(E144, 'Mentor Choices'!A:A, 0))</f>
        <v>Haojian Jin</v>
      </c>
      <c r="G144" s="19" t="str">
        <f>IF(COUNTIF(Sept16!C:C, B144) &gt; 0, "yes", "no")</f>
        <v>yes</v>
      </c>
    </row>
    <row r="145">
      <c r="A145" s="8" t="s">
        <v>1241</v>
      </c>
      <c r="B145" s="14">
        <f t="array" ref="B145">index(PIDtoTSN!E:E, match(A145, PIDtoTSN!A:A, 0))</f>
        <v>200153050</v>
      </c>
      <c r="C145" s="8" t="s">
        <v>1243</v>
      </c>
      <c r="D145" s="8" t="s">
        <v>1244</v>
      </c>
      <c r="E145" s="8" t="s">
        <v>364</v>
      </c>
      <c r="F145" s="19" t="str">
        <f t="array" ref="F145">index('Mentor Choices'!B:B, match(E145, 'Mentor Choices'!A:A, 0))</f>
        <v>Robert Wilderman</v>
      </c>
      <c r="G145" s="19" t="str">
        <f>IF(COUNTIF(Sept16!C:C, B145) &gt; 0, "yes", "no")</f>
        <v>yes</v>
      </c>
    </row>
    <row r="146">
      <c r="A146" s="8" t="s">
        <v>202</v>
      </c>
      <c r="B146" s="14">
        <f t="array" ref="B146">index(PIDtoTSN!E:E, match(A146, PIDtoTSN!A:A, 0))</f>
        <v>200147335</v>
      </c>
      <c r="C146" s="8" t="s">
        <v>1248</v>
      </c>
      <c r="D146" s="8" t="s">
        <v>1249</v>
      </c>
      <c r="E146" s="8" t="s">
        <v>54</v>
      </c>
      <c r="F146" s="19" t="str">
        <f t="array" ref="F146">index('Mentor Choices'!B:B, match(E146, 'Mentor Choices'!A:A, 0))</f>
        <v>Ryan Lingo</v>
      </c>
      <c r="G146" s="19" t="str">
        <f>IF(COUNTIF(Sept16!C:C, B146) &gt; 0, "yes", "no")</f>
        <v>yes</v>
      </c>
    </row>
    <row r="147">
      <c r="A147" s="8" t="s">
        <v>635</v>
      </c>
      <c r="B147" s="14">
        <f t="array" ref="B147">index(PIDtoTSN!E:E, match(A147, PIDtoTSN!A:A, 0))</f>
        <v>200147588</v>
      </c>
      <c r="C147" s="8" t="s">
        <v>636</v>
      </c>
      <c r="D147" s="8" t="s">
        <v>637</v>
      </c>
      <c r="E147" s="8" t="s">
        <v>34</v>
      </c>
      <c r="F147" s="19" t="str">
        <f t="array" ref="F147">index('Mentor Choices'!B:B, match(E147, 'Mentor Choices'!A:A, 0))</f>
        <v>Misha Belkin</v>
      </c>
      <c r="G147" s="19" t="str">
        <f>IF(COUNTIF(Sept16!C:C, B147) &gt; 0, "yes", "no")</f>
        <v>yes</v>
      </c>
    </row>
    <row r="148">
      <c r="A148" s="8" t="s">
        <v>127</v>
      </c>
      <c r="B148" s="14">
        <f t="array" ref="B148">index(PIDtoTSN!E:E, match(A148, PIDtoTSN!A:A, 0))</f>
        <v>200147607</v>
      </c>
      <c r="C148" s="8" t="s">
        <v>713</v>
      </c>
      <c r="D148" s="8" t="s">
        <v>712</v>
      </c>
      <c r="E148" s="8" t="s">
        <v>60</v>
      </c>
      <c r="F148" s="19" t="str">
        <f t="array" ref="F148">index('Mentor Choices'!B:B, match(E148, 'Mentor Choices'!A:A, 0))</f>
        <v>Bijian Arbab</v>
      </c>
      <c r="G148" s="19" t="str">
        <f>IF(COUNTIF(Sept16!C:C, B148) &gt; 0, "yes", "no")</f>
        <v>yes</v>
      </c>
    </row>
    <row r="149">
      <c r="A149" s="8" t="s">
        <v>1261</v>
      </c>
      <c r="B149" s="14">
        <f t="array" ref="B149">index(PIDtoTSN!E:E, match(A149, PIDtoTSN!A:A, 0))</f>
        <v>200147663</v>
      </c>
      <c r="C149" s="8" t="s">
        <v>1263</v>
      </c>
      <c r="D149" s="8" t="s">
        <v>1264</v>
      </c>
      <c r="E149" s="8" t="s">
        <v>145</v>
      </c>
      <c r="F149" s="19" t="str">
        <f t="array" ref="F149">index('Mentor Choices'!B:B, match(E149, 'Mentor Choices'!A:A, 0))</f>
        <v>Ilyes Meftah</v>
      </c>
      <c r="G149" s="19" t="str">
        <f>IF(COUNTIF(Sept16!C:C, B149) &gt; 0, "yes", "no")</f>
        <v>yes</v>
      </c>
    </row>
    <row r="150">
      <c r="A150" s="8" t="s">
        <v>327</v>
      </c>
      <c r="B150" s="14">
        <f t="array" ref="B150">index(PIDtoTSN!E:E, match(A150, PIDtoTSN!A:A, 0))</f>
        <v>200147707</v>
      </c>
      <c r="C150" s="8" t="s">
        <v>1268</v>
      </c>
      <c r="D150" s="8" t="s">
        <v>1269</v>
      </c>
      <c r="E150" s="8" t="s">
        <v>132</v>
      </c>
      <c r="F150" s="19" t="str">
        <f t="array" ref="F150">index('Mentor Choices'!B:B, match(E150, 'Mentor Choices'!A:A, 0))</f>
        <v>Tianhao Wang</v>
      </c>
      <c r="G150" s="19" t="str">
        <f>IF(COUNTIF(Sept16!C:C, B150) &gt; 0, "yes", "no")</f>
        <v>yes</v>
      </c>
    </row>
    <row r="151">
      <c r="A151" s="8" t="s">
        <v>298</v>
      </c>
      <c r="B151" s="14">
        <f t="array" ref="B151">index(PIDtoTSN!E:E, match(A151, PIDtoTSN!A:A, 0))</f>
        <v>200147725</v>
      </c>
      <c r="C151" s="8" t="s">
        <v>1274</v>
      </c>
      <c r="D151" s="8" t="s">
        <v>1275</v>
      </c>
      <c r="E151" s="8" t="s">
        <v>82</v>
      </c>
      <c r="F151" s="19" t="str">
        <f t="array" ref="F151">index('Mentor Choices'!B:B, match(E151, 'Mentor Choices'!A:A, 0))</f>
        <v>Jingbo Shang</v>
      </c>
      <c r="G151" s="19" t="str">
        <f>IF(COUNTIF(Sept16!C:C, B151) &gt; 0, "yes", "no")</f>
        <v>yes</v>
      </c>
    </row>
    <row r="152">
      <c r="A152" s="8" t="s">
        <v>1276</v>
      </c>
      <c r="B152" s="14">
        <f t="array" ref="B152">index(PIDtoTSN!E:E, match(A152, PIDtoTSN!A:A, 0))</f>
        <v>200147981</v>
      </c>
      <c r="C152" s="8" t="s">
        <v>1279</v>
      </c>
      <c r="D152" s="8" t="s">
        <v>1280</v>
      </c>
      <c r="E152" s="8" t="s">
        <v>364</v>
      </c>
      <c r="F152" s="19" t="str">
        <f t="array" ref="F152">index('Mentor Choices'!B:B, match(E152, 'Mentor Choices'!A:A, 0))</f>
        <v>Robert Wilderman</v>
      </c>
      <c r="G152" s="19" t="str">
        <f>IF(COUNTIF(Sept16!C:C, B152) &gt; 0, "yes", "no")</f>
        <v>yes</v>
      </c>
    </row>
    <row r="153">
      <c r="A153" s="8" t="s">
        <v>467</v>
      </c>
      <c r="B153" s="14">
        <f t="array" ref="B153">index(PIDtoTSN!E:E, match(A153, PIDtoTSN!A:A, 0))</f>
        <v>200148155</v>
      </c>
      <c r="C153" s="8" t="s">
        <v>469</v>
      </c>
      <c r="D153" s="8" t="s">
        <v>466</v>
      </c>
      <c r="E153" s="8" t="s">
        <v>105</v>
      </c>
      <c r="F153" s="19" t="str">
        <f t="array" ref="F153">index('Mentor Choices'!B:B, match(E153, 'Mentor Choices'!A:A, 0))</f>
        <v>Duncan Watson-Parris</v>
      </c>
      <c r="G153" s="19" t="str">
        <f>IF(COUNTIF(Sept16!C:C, B153) &gt; 0, "yes", "no")</f>
        <v>yes</v>
      </c>
    </row>
    <row r="154">
      <c r="A154" s="8" t="s">
        <v>161</v>
      </c>
      <c r="B154" s="14">
        <f t="array" ref="B154">index(PIDtoTSN!E:E, match(A154, PIDtoTSN!A:A, 0))</f>
        <v>200148716</v>
      </c>
      <c r="C154" s="8" t="s">
        <v>1123</v>
      </c>
      <c r="D154" s="8" t="s">
        <v>1122</v>
      </c>
      <c r="E154" s="8" t="s">
        <v>148</v>
      </c>
      <c r="F154" s="19" t="str">
        <f t="array" ref="F154">index('Mentor Choices'!B:B, match(E154, 'Mentor Choices'!A:A, 0))</f>
        <v>Rayan Saab</v>
      </c>
      <c r="G154" s="19" t="str">
        <f>IF(COUNTIF(Sept16!C:C, B154) &gt; 0, "yes", "no")</f>
        <v>yes</v>
      </c>
    </row>
    <row r="155">
      <c r="A155" s="8" t="s">
        <v>611</v>
      </c>
      <c r="B155" s="14">
        <f t="array" ref="B155">index(PIDtoTSN!E:E, match(A155, PIDtoTSN!A:A, 0))</f>
        <v>200148787</v>
      </c>
      <c r="C155" s="8" t="s">
        <v>612</v>
      </c>
      <c r="D155" s="8" t="s">
        <v>610</v>
      </c>
      <c r="E155" s="8" t="s">
        <v>273</v>
      </c>
      <c r="F155" s="19" t="str">
        <f t="array" ref="F155">index('Mentor Choices'!B:B, match(E155, 'Mentor Choices'!A:A, 0))</f>
        <v>Stuart Geiger</v>
      </c>
      <c r="G155" s="19" t="str">
        <f>IF(COUNTIF(Sept16!C:C, B155) &gt; 0, "yes", "no")</f>
        <v>yes</v>
      </c>
    </row>
    <row r="156">
      <c r="A156" s="8" t="s">
        <v>151</v>
      </c>
      <c r="B156" s="14">
        <f t="array" ref="B156">index(PIDtoTSN!E:E, match(A156, PIDtoTSN!A:A, 0))</f>
        <v>200148881</v>
      </c>
      <c r="C156" s="8" t="s">
        <v>1290</v>
      </c>
      <c r="D156" s="8" t="s">
        <v>1291</v>
      </c>
      <c r="E156" s="8" t="s">
        <v>126</v>
      </c>
      <c r="F156" s="19" t="str">
        <f t="array" ref="F156">index('Mentor Choices'!B:B, match(E156, 'Mentor Choices'!A:A, 0))</f>
        <v>Igor Sfiligoi</v>
      </c>
      <c r="G156" s="19" t="str">
        <f>IF(COUNTIF(Sept16!C:C, B156) &gt; 0, "yes", "no")</f>
        <v>yes</v>
      </c>
    </row>
    <row r="157">
      <c r="A157" s="8" t="s">
        <v>594</v>
      </c>
      <c r="B157" s="14">
        <f t="array" ref="B157">index(PIDtoTSN!E:E, match(A157, PIDtoTSN!A:A, 0))</f>
        <v>200149978</v>
      </c>
      <c r="C157" s="8" t="s">
        <v>595</v>
      </c>
      <c r="D157" s="8" t="s">
        <v>593</v>
      </c>
      <c r="E157" s="8" t="s">
        <v>55</v>
      </c>
      <c r="F157" s="19" t="str">
        <f t="array" ref="F157">index('Mentor Choices'!B:B, match(E157, 'Mentor Choices'!A:A, 0))</f>
        <v>Haojian Jin</v>
      </c>
      <c r="G157" s="19" t="str">
        <f>IF(COUNTIF(Sept16!C:C, B157) &gt; 0, "yes", "no")</f>
        <v>yes</v>
      </c>
    </row>
    <row r="158">
      <c r="A158" s="8" t="s">
        <v>1294</v>
      </c>
      <c r="B158" s="14">
        <f t="array" ref="B158">index(PIDtoTSN!E:E, match(A158, PIDtoTSN!A:A, 0))</f>
        <v>200144456</v>
      </c>
      <c r="C158" s="8" t="s">
        <v>1299</v>
      </c>
      <c r="D158" s="8" t="s">
        <v>1300</v>
      </c>
      <c r="E158" s="8" t="s">
        <v>36</v>
      </c>
      <c r="F158" s="19" t="str">
        <f t="array" ref="F158">index('Mentor Choices'!B:B, match(E158, 'Mentor Choices'!A:A, 0))</f>
        <v>Ali Arsanjani</v>
      </c>
      <c r="G158" s="19" t="str">
        <f>IF(COUNTIF(Sept16!C:C, B158) &gt; 0, "yes", "no")</f>
        <v>yes</v>
      </c>
    </row>
    <row r="159">
      <c r="A159" s="8" t="s">
        <v>1302</v>
      </c>
      <c r="B159" s="91">
        <v>2.00144482E8</v>
      </c>
      <c r="C159" s="8" t="s">
        <v>1303</v>
      </c>
      <c r="D159" s="8" t="s">
        <v>1304</v>
      </c>
      <c r="E159" s="8" t="s">
        <v>169</v>
      </c>
      <c r="F159" s="19" t="str">
        <f t="array" ref="F159">index('Mentor Choices'!B:B, match(E159, 'Mentor Choices'!A:A, 0))</f>
        <v>Rob Knight</v>
      </c>
      <c r="G159" s="19" t="str">
        <f>IF(COUNTIF(Sept16!C:C, B159) &gt; 0, "yes", "no")</f>
        <v>yes</v>
      </c>
    </row>
    <row r="160">
      <c r="A160" s="8" t="s">
        <v>253</v>
      </c>
      <c r="B160" s="14">
        <f t="array" ref="B160">index(PIDtoTSN!E:E, match(A160, PIDtoTSN!A:A, 0))</f>
        <v>200144751</v>
      </c>
      <c r="C160" s="8" t="s">
        <v>1307</v>
      </c>
      <c r="D160" s="8" t="s">
        <v>1308</v>
      </c>
      <c r="E160" s="8" t="s">
        <v>85</v>
      </c>
      <c r="F160" s="19" t="str">
        <f t="array" ref="F160">index('Mentor Choices'!B:B, match(E160, 'Mentor Choices'!A:A, 0))</f>
        <v>Yoav Freund</v>
      </c>
      <c r="G160" s="19" t="str">
        <f>IF(COUNTIF(Sept16!C:C, B160) &gt; 0, "yes", "no")</f>
        <v>yes</v>
      </c>
    </row>
    <row r="161">
      <c r="A161" s="8" t="s">
        <v>187</v>
      </c>
      <c r="B161" s="14">
        <f t="array" ref="B161">index(PIDtoTSN!E:E, match(A161, PIDtoTSN!A:A, 0))</f>
        <v>200145085</v>
      </c>
      <c r="C161" s="8" t="s">
        <v>970</v>
      </c>
      <c r="D161" s="8" t="s">
        <v>967</v>
      </c>
      <c r="E161" s="8" t="s">
        <v>59</v>
      </c>
      <c r="F161" s="19" t="str">
        <f t="array" ref="F161">index('Mentor Choices'!B:B, match(E161, 'Mentor Choices'!A:A, 0))</f>
        <v>Kyle Nero</v>
      </c>
      <c r="G161" s="19" t="str">
        <f>IF(COUNTIF(Sept16!C:C, B161) &gt; 0, "yes", "no")</f>
        <v>yes</v>
      </c>
    </row>
    <row r="162">
      <c r="A162" s="8" t="s">
        <v>103</v>
      </c>
      <c r="B162" s="14">
        <f t="array" ref="B162">index(PIDtoTSN!E:E, match(A162, PIDtoTSN!A:A, 0))</f>
        <v>200145232</v>
      </c>
      <c r="C162" s="8" t="s">
        <v>1313</v>
      </c>
      <c r="D162" s="8" t="s">
        <v>1314</v>
      </c>
      <c r="E162" s="8" t="s">
        <v>55</v>
      </c>
      <c r="F162" s="19" t="str">
        <f t="array" ref="F162">index('Mentor Choices'!B:B, match(E162, 'Mentor Choices'!A:A, 0))</f>
        <v>Haojian Jin</v>
      </c>
      <c r="G162" s="19" t="str">
        <f>IF(COUNTIF(Sept16!C:C, B162) &gt; 0, "yes", "no")</f>
        <v>yes</v>
      </c>
    </row>
    <row r="163">
      <c r="A163" s="8" t="s">
        <v>389</v>
      </c>
      <c r="B163" s="14">
        <f t="array" ref="B163">index(PIDtoTSN!E:E, match(A163, PIDtoTSN!A:A, 0))</f>
        <v>200146020</v>
      </c>
      <c r="C163" s="8" t="s">
        <v>1319</v>
      </c>
      <c r="D163" s="8" t="s">
        <v>1320</v>
      </c>
      <c r="E163" s="8" t="s">
        <v>336</v>
      </c>
      <c r="F163" s="19" t="str">
        <f t="array" ref="F163">index('Mentor Choices'!B:B, match(E163, 'Mentor Choices'!A:A, 0))</f>
        <v>Zhijian Liu</v>
      </c>
      <c r="G163" s="19" t="str">
        <f>IF(COUNTIF(Sept16!C:C, B163) &gt; 0, "yes", "no")</f>
        <v>yes</v>
      </c>
    </row>
    <row r="164">
      <c r="A164" s="8" t="s">
        <v>312</v>
      </c>
      <c r="B164" s="14">
        <f t="array" ref="B164">index(PIDtoTSN!E:E, match(A164, PIDtoTSN!A:A, 0))</f>
        <v>200146341</v>
      </c>
      <c r="C164" s="8" t="s">
        <v>1324</v>
      </c>
      <c r="D164" s="8" t="s">
        <v>1325</v>
      </c>
      <c r="E164" s="8" t="s">
        <v>54</v>
      </c>
      <c r="F164" s="19" t="str">
        <f t="array" ref="F164">index('Mentor Choices'!B:B, match(E164, 'Mentor Choices'!A:A, 0))</f>
        <v>Ryan Lingo</v>
      </c>
      <c r="G164" s="19" t="str">
        <f>IF(COUNTIF(Sept16!C:C, B164) &gt; 0, "yes", "no")</f>
        <v>yes</v>
      </c>
    </row>
    <row r="165">
      <c r="A165" s="8" t="s">
        <v>1327</v>
      </c>
      <c r="B165" s="14">
        <f t="array" ref="B165">index(PIDtoTSN!E:E, match(A165, PIDtoTSN!A:A, 0))</f>
        <v>200146505</v>
      </c>
      <c r="C165" s="8" t="s">
        <v>1328</v>
      </c>
      <c r="D165" s="8" t="s">
        <v>1329</v>
      </c>
      <c r="E165" s="8" t="s">
        <v>305</v>
      </c>
      <c r="F165" s="19" t="str">
        <f t="array" ref="F165">index('Mentor Choices'!B:B, match(E165, 'Mentor Choices'!A:A, 0))</f>
        <v>Rajesh Gupta</v>
      </c>
      <c r="G165" s="19" t="str">
        <f>IF(COUNTIF(Sept16!C:C, B165) &gt; 0, "yes", "no")</f>
        <v>yes</v>
      </c>
    </row>
    <row r="166">
      <c r="A166" s="8" t="s">
        <v>585</v>
      </c>
      <c r="B166" s="14">
        <f t="array" ref="B166">index(PIDtoTSN!E:E, match(A166, PIDtoTSN!A:A, 0))</f>
        <v>200146511</v>
      </c>
      <c r="C166" s="8" t="s">
        <v>586</v>
      </c>
      <c r="D166" s="8" t="s">
        <v>584</v>
      </c>
      <c r="E166" s="8" t="s">
        <v>110</v>
      </c>
      <c r="F166" s="19" t="str">
        <f t="array" ref="F166">index('Mentor Choices'!B:B, match(E166, 'Mentor Choices'!A:A, 0))</f>
        <v>Emily Aiken</v>
      </c>
      <c r="G166" s="19" t="str">
        <f>IF(COUNTIF(Sept16!C:C, B166) &gt; 0, "yes", "no")</f>
        <v>yes</v>
      </c>
    </row>
    <row r="167">
      <c r="A167" s="8" t="s">
        <v>372</v>
      </c>
      <c r="B167" s="14">
        <f t="array" ref="B167">index(PIDtoTSN!E:E, match(A167, PIDtoTSN!A:A, 0))</f>
        <v>200146993</v>
      </c>
      <c r="C167" s="8" t="s">
        <v>1014</v>
      </c>
      <c r="D167" s="8" t="s">
        <v>1013</v>
      </c>
      <c r="E167" s="8" t="s">
        <v>166</v>
      </c>
      <c r="F167" s="19" t="str">
        <f t="array" ref="F167">index('Mentor Choices'!B:B, match(E167, 'Mentor Choices'!A:A, 0))</f>
        <v>Nathan Hui</v>
      </c>
      <c r="G167" s="19" t="str">
        <f>IF(COUNTIF(Sept16!C:C, B167) &gt; 0, "yes", "no")</f>
        <v>yes</v>
      </c>
    </row>
    <row r="168">
      <c r="A168" s="8" t="s">
        <v>708</v>
      </c>
      <c r="B168" s="14">
        <f t="array" ref="B168">index(PIDtoTSN!E:E, match(A168, PIDtoTSN!A:A, 0))</f>
        <v>200141358</v>
      </c>
      <c r="C168" s="8" t="s">
        <v>709</v>
      </c>
      <c r="D168" s="8" t="s">
        <v>707</v>
      </c>
      <c r="E168" s="8" t="s">
        <v>273</v>
      </c>
      <c r="F168" s="19" t="str">
        <f t="array" ref="F168">index('Mentor Choices'!B:B, match(E168, 'Mentor Choices'!A:A, 0))</f>
        <v>Stuart Geiger</v>
      </c>
      <c r="G168" s="19" t="str">
        <f>IF(COUNTIF(Sept16!C:C, B168) &gt; 0, "yes", "no")</f>
        <v>yes</v>
      </c>
    </row>
    <row r="169">
      <c r="A169" s="8" t="s">
        <v>1335</v>
      </c>
      <c r="B169" s="14">
        <f t="array" ref="B169">index(PIDtoTSN!E:E, match(A169, PIDtoTSN!A:A, 0))</f>
        <v>200141710</v>
      </c>
      <c r="C169" s="8" t="s">
        <v>1338</v>
      </c>
      <c r="D169" s="8" t="s">
        <v>1339</v>
      </c>
      <c r="E169" s="8" t="s">
        <v>60</v>
      </c>
      <c r="F169" s="19" t="str">
        <f t="array" ref="F169">index('Mentor Choices'!B:B, match(E169, 'Mentor Choices'!A:A, 0))</f>
        <v>Bijian Arbab</v>
      </c>
      <c r="G169" s="19" t="str">
        <f>IF(COUNTIF(Sept16!C:C, B169) &gt; 0, "yes", "no")</f>
        <v>yes</v>
      </c>
    </row>
    <row r="170">
      <c r="A170" s="8" t="s">
        <v>391</v>
      </c>
      <c r="B170" s="14">
        <f t="array" ref="B170">index(PIDtoTSN!E:E, match(A170, PIDtoTSN!A:A, 0))</f>
        <v>200141759</v>
      </c>
      <c r="C170" s="8" t="s">
        <v>1341</v>
      </c>
      <c r="D170" s="8" t="s">
        <v>1342</v>
      </c>
      <c r="E170" s="8" t="s">
        <v>336</v>
      </c>
      <c r="F170" s="19" t="str">
        <f t="array" ref="F170">index('Mentor Choices'!B:B, match(E170, 'Mentor Choices'!A:A, 0))</f>
        <v>Zhijian Liu</v>
      </c>
      <c r="G170" s="19" t="str">
        <f>IF(COUNTIF(Sept16!C:C, B170) &gt; 0, "yes", "no")</f>
        <v>yes</v>
      </c>
    </row>
    <row r="171">
      <c r="A171" s="8" t="s">
        <v>961</v>
      </c>
      <c r="B171" s="14">
        <f t="array" ref="B171">index(PIDtoTSN!E:E, match(A171, PIDtoTSN!A:A, 0))</f>
        <v>200141915</v>
      </c>
      <c r="C171" s="8" t="s">
        <v>962</v>
      </c>
      <c r="D171" s="8" t="s">
        <v>960</v>
      </c>
      <c r="E171" s="8" t="s">
        <v>346</v>
      </c>
      <c r="F171" s="19" t="str">
        <f t="array" ref="F171">index('Mentor Choices'!B:B, match(E171, 'Mentor Choices'!A:A, 0))</f>
        <v>Jun-kun Wang</v>
      </c>
      <c r="G171" s="19" t="str">
        <f>IF(COUNTIF(Sept16!C:C, B171) &gt; 0, "yes", "no")</f>
        <v>yes</v>
      </c>
    </row>
    <row r="172">
      <c r="A172" s="8" t="s">
        <v>1344</v>
      </c>
      <c r="B172" s="14">
        <f t="array" ref="B172">index(PIDtoTSN!E:E, match(A172, PIDtoTSN!A:A, 0))</f>
        <v>200142705</v>
      </c>
      <c r="C172" s="8" t="s">
        <v>1348</v>
      </c>
      <c r="D172" s="8" t="s">
        <v>1349</v>
      </c>
      <c r="E172" s="8" t="s">
        <v>55</v>
      </c>
      <c r="F172" s="19" t="str">
        <f t="array" ref="F172">index('Mentor Choices'!B:B, match(E172, 'Mentor Choices'!A:A, 0))</f>
        <v>Haojian Jin</v>
      </c>
      <c r="G172" s="19" t="str">
        <f>IF(COUNTIF(Sept16!C:C, B172) &gt; 0, "yes", "no")</f>
        <v>yes</v>
      </c>
    </row>
    <row r="173">
      <c r="A173" s="8" t="s">
        <v>978</v>
      </c>
      <c r="B173" s="14">
        <f t="array" ref="B173">index(PIDtoTSN!E:E, match(A173, PIDtoTSN!A:A, 0))</f>
        <v>200143017</v>
      </c>
      <c r="C173" s="8" t="s">
        <v>1354</v>
      </c>
      <c r="D173" s="8" t="s">
        <v>977</v>
      </c>
      <c r="E173" s="8" t="s">
        <v>109</v>
      </c>
      <c r="F173" s="19" t="str">
        <f t="array" ref="F173">index('Mentor Choices'!B:B, match(E173, 'Mentor Choices'!A:A, 0))</f>
        <v>Mikio Aoi</v>
      </c>
      <c r="G173" s="19" t="str">
        <f>IF(COUNTIF(Sept16!C:C, B173) &gt; 0, "yes", "no")</f>
        <v>yes</v>
      </c>
    </row>
    <row r="174">
      <c r="A174" s="8" t="s">
        <v>154</v>
      </c>
      <c r="B174" s="14">
        <f t="array" ref="B174">index(PIDtoTSN!E:E, match(A174, PIDtoTSN!A:A, 0))</f>
        <v>200143132</v>
      </c>
      <c r="C174" s="8" t="s">
        <v>1135</v>
      </c>
      <c r="D174" s="8" t="s">
        <v>1134</v>
      </c>
      <c r="E174" s="8" t="s">
        <v>169</v>
      </c>
      <c r="F174" s="19" t="str">
        <f t="array" ref="F174">index('Mentor Choices'!B:B, match(E174, 'Mentor Choices'!A:A, 0))</f>
        <v>Rob Knight</v>
      </c>
      <c r="G174" s="19" t="str">
        <f>IF(COUNTIF(Sept16!C:C, B174) &gt; 0, "yes", "no")</f>
        <v>yes</v>
      </c>
    </row>
    <row r="175">
      <c r="A175" s="8" t="s">
        <v>1357</v>
      </c>
      <c r="B175" s="14">
        <f t="array" ref="B175">index(PIDtoTSN!E:E, match(A175, PIDtoTSN!A:A, 0))</f>
        <v>200143652</v>
      </c>
      <c r="C175" s="8" t="s">
        <v>1358</v>
      </c>
      <c r="D175" s="8" t="s">
        <v>1359</v>
      </c>
      <c r="E175" s="8" t="s">
        <v>291</v>
      </c>
      <c r="F175" s="11" t="s">
        <v>353</v>
      </c>
      <c r="G175" s="19" t="str">
        <f>IF(COUNTIF(Sept16!C:C, B175) &gt; 0, "yes", "no")</f>
        <v>yes</v>
      </c>
    </row>
    <row r="176">
      <c r="A176" s="8" t="s">
        <v>241</v>
      </c>
      <c r="B176" s="14">
        <f t="array" ref="B176">index(PIDtoTSN!E:E, match(A176, PIDtoTSN!A:A, 0))</f>
        <v>200143761</v>
      </c>
      <c r="C176" s="8" t="s">
        <v>1205</v>
      </c>
      <c r="D176" s="8" t="s">
        <v>1204</v>
      </c>
      <c r="E176" s="8" t="s">
        <v>197</v>
      </c>
      <c r="F176" s="19" t="str">
        <f t="array" ref="F176">index('Mentor Choices'!B:B, match(E176, 'Mentor Choices'!A:A, 0))</f>
        <v>Victor Minces</v>
      </c>
      <c r="G176" s="19" t="str">
        <f>IF(COUNTIF(Sept16!C:C, B176) &gt; 0, "yes", "no")</f>
        <v>yes</v>
      </c>
    </row>
    <row r="177">
      <c r="A177" s="8" t="s">
        <v>270</v>
      </c>
      <c r="B177" s="14">
        <f t="array" ref="B177">index(PIDtoTSN!E:E, match(A177, PIDtoTSN!A:A, 0))</f>
        <v>200144021</v>
      </c>
      <c r="C177" s="8" t="s">
        <v>1346</v>
      </c>
      <c r="D177" s="8" t="s">
        <v>1345</v>
      </c>
      <c r="E177" s="8" t="s">
        <v>83</v>
      </c>
      <c r="F177" s="19" t="str">
        <f t="array" ref="F177">index('Mentor Choices'!B:B, match(E177, 'Mentor Choices'!A:A, 0))</f>
        <v>Armin Schwartzman</v>
      </c>
      <c r="G177" s="19" t="str">
        <f>IF(COUNTIF(Sept16!C:C, B177) &gt; 0, "yes", "no")</f>
        <v>yes</v>
      </c>
    </row>
    <row r="178">
      <c r="A178" s="8" t="s">
        <v>1368</v>
      </c>
      <c r="B178" s="14">
        <f t="array" ref="B178">index(PIDtoTSN!E:E, match(A178, PIDtoTSN!A:A, 0))</f>
        <v>200137144</v>
      </c>
      <c r="C178" s="8" t="s">
        <v>1369</v>
      </c>
      <c r="D178" s="8" t="s">
        <v>1370</v>
      </c>
      <c r="E178" s="8" t="s">
        <v>341</v>
      </c>
      <c r="F178" s="19" t="str">
        <f t="array" ref="F178">index('Mentor Choices'!B:B, match(E178, 'Mentor Choices'!A:A, 0))</f>
        <v>Arya Mazumdar</v>
      </c>
      <c r="G178" s="19" t="str">
        <f>IF(COUNTIF(Sept16!C:C, B178) &gt; 0, "yes", "no")</f>
        <v>yes</v>
      </c>
    </row>
    <row r="179">
      <c r="A179" s="8" t="s">
        <v>1372</v>
      </c>
      <c r="B179" s="14">
        <f t="array" ref="B179">index(PIDtoTSN!E:E, match(A179, PIDtoTSN!A:A, 0))</f>
        <v>200137640</v>
      </c>
      <c r="C179" s="8" t="s">
        <v>1373</v>
      </c>
      <c r="D179" s="8" t="s">
        <v>1374</v>
      </c>
      <c r="E179" s="8" t="s">
        <v>169</v>
      </c>
      <c r="F179" s="19" t="str">
        <f t="array" ref="F179">index('Mentor Choices'!B:B, match(E179, 'Mentor Choices'!A:A, 0))</f>
        <v>Rob Knight</v>
      </c>
      <c r="G179" s="19" t="str">
        <f>IF(COUNTIF(Sept16!C:C, B179) &gt; 0, "yes", "no")</f>
        <v>yes</v>
      </c>
    </row>
    <row r="180">
      <c r="A180" s="8" t="s">
        <v>173</v>
      </c>
      <c r="B180" s="14">
        <f t="array" ref="B180">index(PIDtoTSN!E:E, match(A180, PIDtoTSN!A:A, 0))</f>
        <v>200134986</v>
      </c>
      <c r="C180" s="8" t="s">
        <v>780</v>
      </c>
      <c r="D180" s="8" t="s">
        <v>779</v>
      </c>
      <c r="E180" s="8" t="s">
        <v>59</v>
      </c>
      <c r="F180" s="19" t="str">
        <f t="array" ref="F180">index('Mentor Choices'!B:B, match(E180, 'Mentor Choices'!A:A, 0))</f>
        <v>Kyle Nero</v>
      </c>
      <c r="G180" s="19" t="str">
        <f>IF(COUNTIF(Sept16!C:C, B180) &gt; 0, "yes", "no")</f>
        <v>yes</v>
      </c>
    </row>
    <row r="181">
      <c r="A181" s="8" t="s">
        <v>1380</v>
      </c>
      <c r="B181" s="14">
        <f t="array" ref="B181">index(PIDtoTSN!E:E, match(A181, PIDtoTSN!A:A, 0))</f>
        <v>200121500</v>
      </c>
      <c r="C181" s="8" t="s">
        <v>1381</v>
      </c>
      <c r="D181" s="8" t="s">
        <v>1382</v>
      </c>
      <c r="E181" s="8" t="s">
        <v>132</v>
      </c>
      <c r="F181" s="19" t="str">
        <f t="array" ref="F181">index('Mentor Choices'!B:B, match(E181, 'Mentor Choices'!A:A, 0))</f>
        <v>Tianhao Wang</v>
      </c>
      <c r="G181" s="19" t="str">
        <f>IF(COUNTIF(Sept16!C:C, B181) &gt; 0, "yes", "no")</f>
        <v>yes</v>
      </c>
    </row>
    <row r="182">
      <c r="A182" s="8" t="s">
        <v>387</v>
      </c>
      <c r="B182" s="14">
        <f t="array" ref="B182">index(PIDtoTSN!E:E, match(A182, PIDtoTSN!A:A, 0))</f>
        <v>200121532</v>
      </c>
      <c r="C182" s="8" t="s">
        <v>1322</v>
      </c>
      <c r="D182" s="8" t="s">
        <v>1321</v>
      </c>
      <c r="E182" s="8" t="s">
        <v>53</v>
      </c>
      <c r="F182" s="19" t="str">
        <f t="array" ref="F182">index('Mentor Choices'!B:B, match(E182, 'Mentor Choices'!A:A, 0))</f>
        <v>Dusan Bosnjakovic</v>
      </c>
      <c r="G182" s="19" t="str">
        <f>IF(COUNTIF(Sept16!C:C, B182) &gt; 0, "yes", "no")</f>
        <v>yes</v>
      </c>
    </row>
    <row r="183">
      <c r="A183" s="8" t="s">
        <v>249</v>
      </c>
      <c r="B183" s="14">
        <f t="array" ref="B183">index(PIDtoTSN!E:E, match(A183, PIDtoTSN!A:A, 0))</f>
        <v>200121660</v>
      </c>
      <c r="C183" s="8" t="s">
        <v>1246</v>
      </c>
      <c r="D183" s="8" t="s">
        <v>1245</v>
      </c>
      <c r="E183" s="8" t="s">
        <v>83</v>
      </c>
      <c r="F183" s="19" t="str">
        <f t="array" ref="F183">index('Mentor Choices'!B:B, match(E183, 'Mentor Choices'!A:A, 0))</f>
        <v>Armin Schwartzman</v>
      </c>
      <c r="G183" s="19" t="str">
        <f>IF(COUNTIF(Sept16!C:C, B183) &gt; 0, "yes", "no")</f>
        <v>yes</v>
      </c>
    </row>
    <row r="184">
      <c r="A184" s="8" t="s">
        <v>1051</v>
      </c>
      <c r="B184" s="14">
        <f t="array" ref="B184">index(PIDtoTSN!E:E, match(A184, PIDtoTSN!A:A, 0))</f>
        <v>200121710</v>
      </c>
      <c r="C184" s="8" t="s">
        <v>1052</v>
      </c>
      <c r="D184" s="8" t="s">
        <v>1050</v>
      </c>
      <c r="E184" s="8" t="s">
        <v>132</v>
      </c>
      <c r="F184" s="19" t="str">
        <f t="array" ref="F184">index('Mentor Choices'!B:B, match(E184, 'Mentor Choices'!A:A, 0))</f>
        <v>Tianhao Wang</v>
      </c>
      <c r="G184" s="19" t="str">
        <f>IF(COUNTIF(Sept16!C:C, B184) &gt; 0, "yes", "no")</f>
        <v>yes</v>
      </c>
    </row>
    <row r="185">
      <c r="A185" s="8" t="s">
        <v>116</v>
      </c>
      <c r="B185" s="14">
        <f t="array" ref="B185">index(PIDtoTSN!E:E, match(A185, PIDtoTSN!A:A, 0))</f>
        <v>200121778</v>
      </c>
      <c r="C185" s="8" t="s">
        <v>685</v>
      </c>
      <c r="D185" s="8" t="s">
        <v>684</v>
      </c>
      <c r="E185" s="8" t="s">
        <v>56</v>
      </c>
      <c r="F185" s="19" t="str">
        <f t="array" ref="F185">index('Mentor Choices'!B:B, match(E185, 'Mentor Choices'!A:A, 0))</f>
        <v>Gabriel Garzo</v>
      </c>
      <c r="G185" s="19" t="str">
        <f>IF(COUNTIF(Sept16!C:C, B185) &gt; 0, "yes", "no")</f>
        <v>yes</v>
      </c>
    </row>
    <row r="186">
      <c r="A186" s="8" t="s">
        <v>230</v>
      </c>
      <c r="B186" s="14">
        <f t="array" ref="B186">index(PIDtoTSN!E:E, match(A186, PIDtoTSN!A:A, 0))</f>
        <v>200121806</v>
      </c>
      <c r="C186" s="8" t="s">
        <v>1175</v>
      </c>
      <c r="D186" s="8" t="s">
        <v>1174</v>
      </c>
      <c r="E186" s="8" t="s">
        <v>66</v>
      </c>
      <c r="F186" s="19" t="str">
        <f t="array" ref="F186">index('Mentor Choices'!B:B, match(E186, 'Mentor Choices'!A:A, 0))</f>
        <v>Tiffany Amariuta</v>
      </c>
      <c r="G186" s="19" t="str">
        <f>IF(COUNTIF(Sept16!C:C, B186) &gt; 0, "yes", "no")</f>
        <v>yes</v>
      </c>
    </row>
    <row r="187">
      <c r="A187" s="8" t="s">
        <v>102</v>
      </c>
      <c r="B187" s="14">
        <f t="array" ref="B187">index(PIDtoTSN!E:E, match(A187, PIDtoTSN!A:A, 0))</f>
        <v>200121893</v>
      </c>
      <c r="C187" s="8" t="s">
        <v>1396</v>
      </c>
      <c r="D187" s="8" t="s">
        <v>1397</v>
      </c>
      <c r="E187" s="8" t="s">
        <v>85</v>
      </c>
      <c r="F187" s="19" t="str">
        <f t="array" ref="F187">index('Mentor Choices'!B:B, match(E187, 'Mentor Choices'!A:A, 0))</f>
        <v>Yoav Freund</v>
      </c>
      <c r="G187" s="19" t="str">
        <f>IF(COUNTIF(Sept16!C:C, B187) &gt; 0, "yes", "no")</f>
        <v>yes</v>
      </c>
    </row>
    <row r="188">
      <c r="A188" s="8" t="s">
        <v>1402</v>
      </c>
      <c r="B188" s="14">
        <f t="array" ref="B188">index(PIDtoTSN!E:E, match(A188, PIDtoTSN!A:A, 0))</f>
        <v>200121943</v>
      </c>
      <c r="C188" s="8" t="s">
        <v>1407</v>
      </c>
      <c r="D188" s="8" t="s">
        <v>1408</v>
      </c>
      <c r="E188" s="8" t="s">
        <v>364</v>
      </c>
      <c r="F188" s="19" t="str">
        <f t="array" ref="F188">index('Mentor Choices'!B:B, match(E188, 'Mentor Choices'!A:A, 0))</f>
        <v>Robert Wilderman</v>
      </c>
      <c r="G188" s="19" t="str">
        <f>IF(COUNTIF(Sept16!C:C, B188) &gt; 0, "yes", "no")</f>
        <v>yes</v>
      </c>
    </row>
    <row r="189">
      <c r="A189" s="8" t="s">
        <v>158</v>
      </c>
      <c r="B189" s="14">
        <f t="array" ref="B189">index(PIDtoTSN!E:E, match(A189, PIDtoTSN!A:A, 0))</f>
        <v>200121975</v>
      </c>
      <c r="C189" s="8" t="s">
        <v>1389</v>
      </c>
      <c r="D189" s="8" t="s">
        <v>1388</v>
      </c>
      <c r="E189" s="8" t="s">
        <v>52</v>
      </c>
      <c r="F189" s="19" t="str">
        <f t="array" ref="F189">index('Mentor Choices'!B:B, match(E189, 'Mentor Choices'!A:A, 0))</f>
        <v>Renu Raman</v>
      </c>
      <c r="G189" s="19" t="str">
        <f>IF(COUNTIF(Sept16!C:C, B189) &gt; 0, "yes", "no")</f>
        <v>yes</v>
      </c>
    </row>
    <row r="190">
      <c r="A190" s="8" t="s">
        <v>212</v>
      </c>
      <c r="B190" s="14">
        <f t="array" ref="B190">index(PIDtoTSN!E:E, match(A190, PIDtoTSN!A:A, 0))</f>
        <v>200121982</v>
      </c>
      <c r="C190" s="8" t="s">
        <v>1070</v>
      </c>
      <c r="D190" s="8" t="s">
        <v>1069</v>
      </c>
      <c r="E190" s="8" t="s">
        <v>148</v>
      </c>
      <c r="F190" s="19" t="str">
        <f t="array" ref="F190">index('Mentor Choices'!B:B, match(E190, 'Mentor Choices'!A:A, 0))</f>
        <v>Rayan Saab</v>
      </c>
      <c r="G190" s="19" t="str">
        <f>IF(COUNTIF(Sept16!C:C, B190) &gt; 0, "yes", "no")</f>
        <v>yes</v>
      </c>
    </row>
    <row r="191">
      <c r="A191" s="8" t="s">
        <v>209</v>
      </c>
      <c r="B191" s="14">
        <f t="array" ref="B191">index(PIDtoTSN!E:E, match(A191, PIDtoTSN!A:A, 0))</f>
        <v>200121992</v>
      </c>
      <c r="C191" s="8" t="s">
        <v>1117</v>
      </c>
      <c r="D191" s="8" t="s">
        <v>1116</v>
      </c>
      <c r="E191" s="8" t="s">
        <v>148</v>
      </c>
      <c r="F191" s="19" t="str">
        <f t="array" ref="F191">index('Mentor Choices'!B:B, match(E191, 'Mentor Choices'!A:A, 0))</f>
        <v>Rayan Saab</v>
      </c>
      <c r="G191" s="19" t="str">
        <f>IF(COUNTIF(Sept16!C:C, B191) &gt; 0, "yes", "no")</f>
        <v>yes</v>
      </c>
    </row>
    <row r="192">
      <c r="A192" s="8" t="s">
        <v>1131</v>
      </c>
      <c r="B192" s="14">
        <f t="array" ref="B192">index(PIDtoTSN!E:E, match(A192, PIDtoTSN!A:A, 0))</f>
        <v>200114329</v>
      </c>
      <c r="C192" s="8" t="s">
        <v>1132</v>
      </c>
      <c r="D192" s="8" t="s">
        <v>1130</v>
      </c>
      <c r="E192" s="8" t="s">
        <v>323</v>
      </c>
      <c r="F192" s="19" t="str">
        <f t="array" ref="F192">index('Mentor Choices'!B:B, match(E192, 'Mentor Choices'!A:A, 0))</f>
        <v>Peter Chi</v>
      </c>
      <c r="G192" s="19" t="str">
        <f>IF(COUNTIF(Sept16!C:C, B192) &gt; 0, "yes", "no")</f>
        <v>yes</v>
      </c>
    </row>
    <row r="193">
      <c r="A193" s="8" t="s">
        <v>1332</v>
      </c>
      <c r="B193" s="14">
        <f t="array" ref="B193">index(PIDtoTSN!E:E, match(A193, PIDtoTSN!A:A, 0))</f>
        <v>200114344</v>
      </c>
      <c r="C193" s="8" t="s">
        <v>1333</v>
      </c>
      <c r="D193" s="8" t="s">
        <v>1331</v>
      </c>
      <c r="E193" s="8" t="s">
        <v>51</v>
      </c>
      <c r="F193" s="19" t="str">
        <f t="array" ref="F193">index('Mentor Choices'!B:B, match(E193, 'Mentor Choices'!A:A, 0))</f>
        <v>Renu Raman</v>
      </c>
      <c r="G193" s="19" t="str">
        <f>IF(COUNTIF(Sept16!C:C, B193) &gt; 0, "yes", "no")</f>
        <v>yes</v>
      </c>
    </row>
    <row r="194">
      <c r="A194" s="8" t="s">
        <v>125</v>
      </c>
      <c r="B194" s="14">
        <f t="array" ref="B194">index(PIDtoTSN!E:E, match(A194, PIDtoTSN!A:A, 0))</f>
        <v>200114379</v>
      </c>
      <c r="C194" s="8" t="s">
        <v>718</v>
      </c>
      <c r="D194" s="8" t="s">
        <v>717</v>
      </c>
      <c r="E194" s="8" t="s">
        <v>105</v>
      </c>
      <c r="F194" s="19" t="str">
        <f t="array" ref="F194">index('Mentor Choices'!B:B, match(E194, 'Mentor Choices'!A:A, 0))</f>
        <v>Duncan Watson-Parris</v>
      </c>
      <c r="G194" s="19" t="str">
        <f>IF(COUNTIF(Sept16!C:C, B194) &gt; 0, "yes", "no")</f>
        <v>yes</v>
      </c>
    </row>
    <row r="195">
      <c r="A195" s="8" t="s">
        <v>204</v>
      </c>
      <c r="B195" s="14">
        <f t="array" ref="B195">index(PIDtoTSN!E:E, match(A195, PIDtoTSN!A:A, 0))</f>
        <v>200114387</v>
      </c>
      <c r="C195" s="8" t="s">
        <v>773</v>
      </c>
      <c r="D195" s="8" t="s">
        <v>772</v>
      </c>
      <c r="E195" s="8" t="s">
        <v>145</v>
      </c>
      <c r="F195" s="19" t="str">
        <f t="array" ref="F195">index('Mentor Choices'!B:B, match(E195, 'Mentor Choices'!A:A, 0))</f>
        <v>Ilyes Meftah</v>
      </c>
      <c r="G195" s="19" t="str">
        <f>IF(COUNTIF(Sept16!C:C, B195) &gt; 0, "yes", "no")</f>
        <v>yes</v>
      </c>
    </row>
    <row r="196">
      <c r="A196" s="8" t="s">
        <v>1404</v>
      </c>
      <c r="B196" s="14">
        <f t="array" ref="B196">index(PIDtoTSN!E:E, match(A196, PIDtoTSN!A:A, 0))</f>
        <v>200114394</v>
      </c>
      <c r="C196" s="8" t="s">
        <v>1405</v>
      </c>
      <c r="D196" s="8" t="s">
        <v>1403</v>
      </c>
      <c r="E196" s="8" t="s">
        <v>105</v>
      </c>
      <c r="F196" s="19" t="str">
        <f t="array" ref="F196">index('Mentor Choices'!B:B, match(E196, 'Mentor Choices'!A:A, 0))</f>
        <v>Duncan Watson-Parris</v>
      </c>
      <c r="G196" s="19" t="str">
        <f>IF(COUNTIF(Sept16!C:C, B196) &gt; 0, "yes", "no")</f>
        <v>yes</v>
      </c>
    </row>
    <row r="197">
      <c r="A197" s="8" t="s">
        <v>100</v>
      </c>
      <c r="B197" s="14">
        <f t="array" ref="B197">index(PIDtoTSN!E:E, match(A197, PIDtoTSN!A:A, 0))</f>
        <v>200114416</v>
      </c>
      <c r="C197" s="8" t="s">
        <v>1219</v>
      </c>
      <c r="D197" s="8" t="s">
        <v>1218</v>
      </c>
      <c r="E197" s="8" t="s">
        <v>207</v>
      </c>
      <c r="F197" s="19" t="str">
        <f t="array" ref="F197">index('Mentor Choices'!B:B, match(E197, 'Mentor Choices'!A:A, 0))</f>
        <v>Alex Warstadt</v>
      </c>
      <c r="G197" s="19" t="str">
        <f>IF(COUNTIF(Sept16!C:C, B197) &gt; 0, "yes", "no")</f>
        <v>yes</v>
      </c>
    </row>
    <row r="198">
      <c r="A198" s="8" t="s">
        <v>1025</v>
      </c>
      <c r="B198" s="14">
        <f t="array" ref="B198">index(PIDtoTSN!E:E, match(A198, PIDtoTSN!A:A, 0))</f>
        <v>200114424</v>
      </c>
      <c r="C198" s="8" t="s">
        <v>1026</v>
      </c>
      <c r="D198" s="8" t="s">
        <v>1024</v>
      </c>
      <c r="E198" s="8" t="s">
        <v>36</v>
      </c>
      <c r="F198" s="19" t="str">
        <f t="array" ref="F198">index('Mentor Choices'!B:B, match(E198, 'Mentor Choices'!A:A, 0))</f>
        <v>Ali Arsanjani</v>
      </c>
      <c r="G198" s="19" t="str">
        <f>IF(COUNTIF(Sept16!C:C, B198) &gt; 0, "yes", "no")</f>
        <v>yes</v>
      </c>
    </row>
    <row r="199">
      <c r="A199" s="8" t="s">
        <v>295</v>
      </c>
      <c r="B199" s="14">
        <f t="array" ref="B199">index(PIDtoTSN!E:E, match(A199, PIDtoTSN!A:A, 0))</f>
        <v>200114433</v>
      </c>
      <c r="C199" s="8" t="s">
        <v>1430</v>
      </c>
      <c r="D199" s="8" t="s">
        <v>1429</v>
      </c>
      <c r="E199" s="8" t="s">
        <v>82</v>
      </c>
      <c r="F199" s="19" t="str">
        <f t="array" ref="F199">index('Mentor Choices'!B:B, match(E199, 'Mentor Choices'!A:A, 0))</f>
        <v>Jingbo Shang</v>
      </c>
      <c r="G199" s="19" t="str">
        <f>IF(COUNTIF(Sept16!C:C, B199) &gt; 0, "yes", "no")</f>
        <v>yes</v>
      </c>
    </row>
    <row r="200">
      <c r="A200" s="8" t="s">
        <v>1149</v>
      </c>
      <c r="B200" s="14">
        <f t="array" ref="B200">index(PIDtoTSN!E:E, match(A200, PIDtoTSN!A:A, 0))</f>
        <v>200114502</v>
      </c>
      <c r="C200" s="8" t="s">
        <v>1150</v>
      </c>
      <c r="D200" s="8" t="s">
        <v>1148</v>
      </c>
      <c r="E200" s="8" t="s">
        <v>169</v>
      </c>
      <c r="F200" s="19" t="str">
        <f t="array" ref="F200">index('Mentor Choices'!B:B, match(E200, 'Mentor Choices'!A:A, 0))</f>
        <v>Rob Knight</v>
      </c>
      <c r="G200" s="19" t="str">
        <f>IF(COUNTIF(Sept16!C:C, B200) &gt; 0, "yes", "no")</f>
        <v>yes</v>
      </c>
    </row>
    <row r="201">
      <c r="A201" s="8" t="s">
        <v>386</v>
      </c>
      <c r="B201" s="14">
        <f t="array" ref="B201">index(PIDtoTSN!E:E, match(A201, PIDtoTSN!A:A, 0))</f>
        <v>200114518</v>
      </c>
      <c r="C201" s="8" t="s">
        <v>1469</v>
      </c>
      <c r="D201" s="8" t="s">
        <v>1470</v>
      </c>
      <c r="E201" s="8" t="s">
        <v>336</v>
      </c>
      <c r="F201" s="19" t="str">
        <f t="array" ref="F201">index('Mentor Choices'!B:B, match(E201, 'Mentor Choices'!A:A, 0))</f>
        <v>Zhijian Liu</v>
      </c>
      <c r="G201" s="19" t="str">
        <f>IF(COUNTIF(Sept16!C:C, B201) &gt; 0, "yes", "no")</f>
        <v>yes</v>
      </c>
    </row>
    <row r="202">
      <c r="A202" s="8" t="s">
        <v>1476</v>
      </c>
      <c r="B202" s="14">
        <f t="array" ref="B202">index(PIDtoTSN!E:E, match(A202, PIDtoTSN!A:A, 0))</f>
        <v>200114560</v>
      </c>
      <c r="C202" s="8" t="s">
        <v>1480</v>
      </c>
      <c r="D202" s="8" t="s">
        <v>1481</v>
      </c>
      <c r="E202" s="8" t="s">
        <v>291</v>
      </c>
      <c r="F202" s="19" t="str">
        <f t="array" ref="F202">index('Mentor Choices'!B:B, match(E202, 'Mentor Choices'!A:A, 0))</f>
        <v>Babak Salimi</v>
      </c>
      <c r="G202" s="19" t="str">
        <f>IF(COUNTIF(Sept16!C:C, B202) &gt; 0, "yes", "no")</f>
        <v>yes</v>
      </c>
    </row>
    <row r="203">
      <c r="A203" s="8" t="s">
        <v>835</v>
      </c>
      <c r="B203" s="14">
        <f t="array" ref="B203">index(PIDtoTSN!E:E, match(A203, PIDtoTSN!A:A, 0))</f>
        <v>200114599</v>
      </c>
      <c r="C203" s="8" t="s">
        <v>836</v>
      </c>
      <c r="D203" s="8" t="s">
        <v>834</v>
      </c>
      <c r="E203" s="8" t="s">
        <v>109</v>
      </c>
      <c r="F203" s="19" t="str">
        <f t="array" ref="F203">index('Mentor Choices'!B:B, match(E203, 'Mentor Choices'!A:A, 0))</f>
        <v>Mikio Aoi</v>
      </c>
      <c r="G203" s="19" t="str">
        <f>IF(COUNTIF(Sept16!C:C, B203) &gt; 0, "yes", "no")</f>
        <v>yes</v>
      </c>
    </row>
    <row r="204">
      <c r="A204" s="8" t="s">
        <v>99</v>
      </c>
      <c r="B204" s="14">
        <f t="array" ref="B204">index(PIDtoTSN!E:E, match(A204, PIDtoTSN!A:A, 0))</f>
        <v>200114620</v>
      </c>
      <c r="C204" s="8" t="s">
        <v>1140</v>
      </c>
      <c r="D204" s="8" t="s">
        <v>1139</v>
      </c>
      <c r="E204" s="8" t="s">
        <v>169</v>
      </c>
      <c r="F204" s="19" t="str">
        <f t="array" ref="F204">index('Mentor Choices'!B:B, match(E204, 'Mentor Choices'!A:A, 0))</f>
        <v>Rob Knight</v>
      </c>
      <c r="G204" s="19" t="str">
        <f>IF(COUNTIF(Sept16!C:C, B204) &gt; 0, "yes", "no")</f>
        <v>yes</v>
      </c>
    </row>
    <row r="205">
      <c r="A205" s="8" t="s">
        <v>988</v>
      </c>
      <c r="B205" s="14">
        <f t="array" ref="B205">index(PIDtoTSN!E:E, match(A205, PIDtoTSN!A:A, 0))</f>
        <v>200114647</v>
      </c>
      <c r="C205" s="8" t="s">
        <v>989</v>
      </c>
      <c r="D205" s="8" t="s">
        <v>987</v>
      </c>
      <c r="E205" s="8" t="s">
        <v>109</v>
      </c>
      <c r="F205" s="19" t="str">
        <f t="array" ref="F205">index('Mentor Choices'!B:B, match(E205, 'Mentor Choices'!A:A, 0))</f>
        <v>Mikio Aoi</v>
      </c>
      <c r="G205" s="19" t="str">
        <f>IF(COUNTIF(Sept16!C:C, B205) &gt; 0, "yes", "no")</f>
        <v>yes</v>
      </c>
    </row>
    <row r="206">
      <c r="A206" s="8" t="s">
        <v>639</v>
      </c>
      <c r="B206" s="14">
        <f t="array" ref="B206">index(PIDtoTSN!E:E, match(A206, PIDtoTSN!A:A, 0))</f>
        <v>200114869</v>
      </c>
      <c r="C206" s="8" t="s">
        <v>640</v>
      </c>
      <c r="D206" s="8" t="s">
        <v>641</v>
      </c>
      <c r="E206" s="8" t="s">
        <v>289</v>
      </c>
      <c r="F206" s="19" t="str">
        <f t="array" ref="F206">index('Mentor Choices'!B:B, match(E206, 'Mentor Choices'!A:A, 0))</f>
        <v>Yusu Wang</v>
      </c>
      <c r="G206" s="19" t="str">
        <f>IF(COUNTIF(Sept16!C:C, B206) &gt; 0, "yes", "no")</f>
        <v>yes</v>
      </c>
    </row>
    <row r="207">
      <c r="A207" s="8" t="s">
        <v>200</v>
      </c>
      <c r="B207" s="14">
        <f t="array" ref="B207">index(PIDtoTSN!E:E, match(A207, PIDtoTSN!A:A, 0))</f>
        <v>200114883</v>
      </c>
      <c r="C207" s="8" t="s">
        <v>1515</v>
      </c>
      <c r="D207" s="8" t="s">
        <v>1516</v>
      </c>
      <c r="E207" s="8" t="s">
        <v>171</v>
      </c>
      <c r="F207" s="19" t="str">
        <f t="array" ref="F207">index('Mentor Choices'!B:B, match(E207, 'Mentor Choices'!A:A, 0))</f>
        <v>Reem Khojah</v>
      </c>
      <c r="G207" s="19" t="str">
        <f>IF(COUNTIF(Sept16!C:C, B207) &gt; 0, "yes", "no")</f>
        <v>yes</v>
      </c>
    </row>
    <row r="208">
      <c r="A208" s="8" t="s">
        <v>1519</v>
      </c>
      <c r="B208" s="14">
        <f t="array" ref="B208">index(PIDtoTSN!E:E, match(A208, PIDtoTSN!A:A, 0))</f>
        <v>200114952</v>
      </c>
      <c r="C208" s="8" t="s">
        <v>1522</v>
      </c>
      <c r="D208" s="8" t="s">
        <v>1523</v>
      </c>
      <c r="E208" s="8" t="s">
        <v>341</v>
      </c>
      <c r="F208" s="19" t="str">
        <f t="array" ref="F208">index('Mentor Choices'!B:B, match(E208, 'Mentor Choices'!A:A, 0))</f>
        <v>Arya Mazumdar</v>
      </c>
      <c r="G208" s="19" t="str">
        <f>IF(COUNTIF(Sept16!C:C, B208) &gt; 0, "yes", "no")</f>
        <v>yes</v>
      </c>
    </row>
    <row r="209">
      <c r="A209" s="8" t="s">
        <v>1377</v>
      </c>
      <c r="B209" s="14">
        <f t="array" ref="B209">index(PIDtoTSN!E:E, match(A209, PIDtoTSN!A:A, 0))</f>
        <v>200115045</v>
      </c>
      <c r="C209" s="8" t="s">
        <v>1378</v>
      </c>
      <c r="D209" s="8" t="s">
        <v>1376</v>
      </c>
      <c r="E209" s="8" t="s">
        <v>145</v>
      </c>
      <c r="F209" s="19" t="str">
        <f t="array" ref="F209">index('Mentor Choices'!B:B, match(E209, 'Mentor Choices'!A:A, 0))</f>
        <v>Ilyes Meftah</v>
      </c>
      <c r="G209" s="19" t="str">
        <f>IF(COUNTIF(Sept16!C:C, B209) &gt; 0, "yes", "no")</f>
        <v>yes</v>
      </c>
    </row>
    <row r="210">
      <c r="A210" s="8" t="s">
        <v>1525</v>
      </c>
      <c r="B210" s="14">
        <f t="array" ref="B210">index(PIDtoTSN!E:E, match(A210, PIDtoTSN!A:A, 0))</f>
        <v>200115139</v>
      </c>
      <c r="C210" s="8" t="s">
        <v>1526</v>
      </c>
      <c r="D210" s="8" t="s">
        <v>1527</v>
      </c>
      <c r="E210" s="8" t="s">
        <v>105</v>
      </c>
      <c r="F210" s="19" t="str">
        <f t="array" ref="F210">index('Mentor Choices'!B:B, match(E210, 'Mentor Choices'!A:A, 0))</f>
        <v>Duncan Watson-Parris</v>
      </c>
      <c r="G210" s="19" t="str">
        <f>IF(COUNTIF(Sept16!C:C, B210) &gt; 0, "yes", "no")</f>
        <v>yes</v>
      </c>
    </row>
    <row r="211">
      <c r="A211" s="8" t="s">
        <v>406</v>
      </c>
      <c r="B211" s="14">
        <f t="array" ref="B211">index(PIDtoTSN!E:E, match(A211, PIDtoTSN!A:A, 0))</f>
        <v>200115159</v>
      </c>
      <c r="C211" s="8" t="s">
        <v>950</v>
      </c>
      <c r="D211" s="8" t="s">
        <v>949</v>
      </c>
      <c r="E211" s="8" t="s">
        <v>60</v>
      </c>
      <c r="F211" s="19" t="str">
        <f t="array" ref="F211">index('Mentor Choices'!B:B, match(E211, 'Mentor Choices'!A:A, 0))</f>
        <v>Bijian Arbab</v>
      </c>
      <c r="G211" s="19" t="str">
        <f>IF(COUNTIF(Sept16!C:C, B211) &gt; 0, "yes", "no")</f>
        <v>yes</v>
      </c>
    </row>
    <row r="212">
      <c r="A212" s="8" t="s">
        <v>258</v>
      </c>
      <c r="B212" s="14">
        <f t="array" ref="B212">index(PIDtoTSN!E:E, match(A212, PIDtoTSN!A:A, 0))</f>
        <v>200115775</v>
      </c>
      <c r="C212" s="8" t="s">
        <v>1278</v>
      </c>
      <c r="D212" s="8" t="s">
        <v>1277</v>
      </c>
      <c r="E212" s="8" t="s">
        <v>83</v>
      </c>
      <c r="F212" s="19" t="str">
        <f t="array" ref="F212">index('Mentor Choices'!B:B, match(E212, 'Mentor Choices'!A:A, 0))</f>
        <v>Armin Schwartzman</v>
      </c>
      <c r="G212" s="19" t="str">
        <f>IF(COUNTIF(Sept16!C:C, B212) &gt; 0, "yes", "no")</f>
        <v>yes</v>
      </c>
    </row>
    <row r="213">
      <c r="A213" s="8" t="s">
        <v>174</v>
      </c>
      <c r="B213" s="14">
        <f t="array" ref="B213">index(PIDtoTSN!E:E, match(A213, PIDtoTSN!A:A, 0))</f>
        <v>200116919</v>
      </c>
      <c r="C213" s="8" t="s">
        <v>788</v>
      </c>
      <c r="D213" s="8" t="s">
        <v>787</v>
      </c>
      <c r="E213" s="8" t="s">
        <v>59</v>
      </c>
      <c r="F213" s="19" t="str">
        <f t="array" ref="F213">index('Mentor Choices'!B:B, match(E213, 'Mentor Choices'!A:A, 0))</f>
        <v>Kyle Nero</v>
      </c>
      <c r="G213" s="19" t="str">
        <f>IF(COUNTIF(Sept16!C:C, B213) &gt; 0, "yes", "no")</f>
        <v>yes</v>
      </c>
    </row>
    <row r="214">
      <c r="A214" s="8" t="s">
        <v>1422</v>
      </c>
      <c r="B214" s="14">
        <f t="array" ref="B214">index(PIDtoTSN!E:E, match(A214, PIDtoTSN!A:A, 0))</f>
        <v>200112544</v>
      </c>
      <c r="C214" s="8" t="s">
        <v>1423</v>
      </c>
      <c r="D214" s="8" t="s">
        <v>1421</v>
      </c>
      <c r="E214" s="8" t="s">
        <v>132</v>
      </c>
      <c r="F214" s="19" t="str">
        <f t="array" ref="F214">index('Mentor Choices'!B:B, match(E214, 'Mentor Choices'!A:A, 0))</f>
        <v>Tianhao Wang</v>
      </c>
      <c r="G214" s="19" t="str">
        <f>IF(COUNTIF(Sept16!C:C, B214) &gt; 0, "yes", "no")</f>
        <v>yes</v>
      </c>
    </row>
    <row r="215">
      <c r="A215" s="8" t="s">
        <v>1154</v>
      </c>
      <c r="B215" s="14">
        <f t="array" ref="B215">index(PIDtoTSN!E:E, match(A215, PIDtoTSN!A:A, 0))</f>
        <v>200113461</v>
      </c>
      <c r="C215" s="8" t="s">
        <v>1155</v>
      </c>
      <c r="D215" s="8" t="s">
        <v>1153</v>
      </c>
      <c r="E215" s="8" t="s">
        <v>191</v>
      </c>
      <c r="F215" s="19" t="str">
        <f t="array" ref="F215">index('Mentor Choices'!B:B, match(E215, 'Mentor Choices'!A:A, 0))</f>
        <v>Tauhidur Rahaman</v>
      </c>
      <c r="G215" s="19" t="str">
        <f>IF(COUNTIF(Sept16!C:C, B215) &gt; 0, "yes", "no")</f>
        <v>yes</v>
      </c>
    </row>
    <row r="216">
      <c r="A216" s="8" t="s">
        <v>642</v>
      </c>
      <c r="B216" s="14">
        <f t="array" ref="B216">index(PIDtoTSN!E:E, match(A216, PIDtoTSN!A:A, 0))</f>
        <v>200110513</v>
      </c>
      <c r="C216" s="8" t="s">
        <v>643</v>
      </c>
      <c r="D216" s="8" t="s">
        <v>645</v>
      </c>
      <c r="E216" s="8" t="s">
        <v>289</v>
      </c>
      <c r="F216" s="19" t="str">
        <f t="array" ref="F216">index('Mentor Choices'!B:B, match(E216, 'Mentor Choices'!A:A, 0))</f>
        <v>Yusu Wang</v>
      </c>
      <c r="G216" s="19" t="str">
        <f>IF(COUNTIF(Sept16!C:C, B216) &gt; 0, "yes", "no")</f>
        <v>yes</v>
      </c>
    </row>
    <row r="217">
      <c r="A217" s="8" t="s">
        <v>1190</v>
      </c>
      <c r="B217" s="14">
        <f t="array" ref="B217">index(PIDtoTSN!E:E, match(A217, PIDtoTSN!A:A, 0))</f>
        <v>200104249</v>
      </c>
      <c r="C217" s="8" t="s">
        <v>1191</v>
      </c>
      <c r="D217" s="8" t="s">
        <v>1189</v>
      </c>
      <c r="E217" s="8" t="s">
        <v>66</v>
      </c>
      <c r="F217" s="19" t="str">
        <f t="array" ref="F217">index('Mentor Choices'!B:B, match(E217, 'Mentor Choices'!A:A, 0))</f>
        <v>Tiffany Amariuta</v>
      </c>
      <c r="G217" s="19" t="str">
        <f>IF(COUNTIF(Sept16!C:C, B217) &gt; 0, "yes", "no")</f>
        <v>yes</v>
      </c>
    </row>
    <row r="218">
      <c r="A218" s="8" t="s">
        <v>407</v>
      </c>
      <c r="B218" s="14">
        <f t="array" ref="B218">index(PIDtoTSN!E:E, match(A218, PIDtoTSN!A:A, 0))</f>
        <v>200106085</v>
      </c>
      <c r="C218" s="8" t="s">
        <v>866</v>
      </c>
      <c r="D218" s="8" t="s">
        <v>863</v>
      </c>
      <c r="E218" s="8" t="s">
        <v>60</v>
      </c>
      <c r="F218" s="19" t="str">
        <f t="array" ref="F218">index('Mentor Choices'!B:B, match(E218, 'Mentor Choices'!A:A, 0))</f>
        <v>Bijian Arbab</v>
      </c>
      <c r="G218" s="19" t="str">
        <f>IF(COUNTIF(Sept16!C:C, B218) &gt; 0, "yes", "no")</f>
        <v>yes</v>
      </c>
    </row>
    <row r="219">
      <c r="A219" s="8" t="s">
        <v>342</v>
      </c>
      <c r="B219" s="14">
        <f t="array" ref="B219">index(PIDtoTSN!E:E, match(A219, PIDtoTSN!A:A, 0))</f>
        <v>200102244</v>
      </c>
      <c r="C219" s="8" t="s">
        <v>1311</v>
      </c>
      <c r="D219" s="8" t="s">
        <v>1310</v>
      </c>
      <c r="E219" s="8" t="s">
        <v>83</v>
      </c>
      <c r="F219" s="19" t="str">
        <f t="array" ref="F219">index('Mentor Choices'!B:B, match(E219, 'Mentor Choices'!A:A, 0))</f>
        <v>Armin Schwartzman</v>
      </c>
      <c r="G219" s="19" t="str">
        <f>IF(COUNTIF(Sept16!C:C, B219) &gt; 0, "yes", "no")</f>
        <v>yes</v>
      </c>
    </row>
    <row r="220">
      <c r="A220" s="8" t="s">
        <v>390</v>
      </c>
      <c r="B220" s="14">
        <f t="array" ref="B220">index(PIDtoTSN!E:E, match(A220, PIDtoTSN!A:A, 0))</f>
        <v>200096939</v>
      </c>
      <c r="C220" s="8" t="s">
        <v>1517</v>
      </c>
      <c r="D220" s="8" t="s">
        <v>1518</v>
      </c>
      <c r="E220" s="8" t="s">
        <v>336</v>
      </c>
      <c r="F220" s="19" t="str">
        <f t="array" ref="F220">index('Mentor Choices'!B:B, match(E220, 'Mentor Choices'!A:A, 0))</f>
        <v>Zhijian Liu</v>
      </c>
      <c r="G220" s="19" t="str">
        <f>IF(COUNTIF(Sept16!C:C, B220) &gt; 0, "yes", "no")</f>
        <v>yes</v>
      </c>
    </row>
    <row r="221">
      <c r="A221" s="8" t="s">
        <v>326</v>
      </c>
      <c r="B221" s="14">
        <f t="array" ref="B221">index(PIDtoTSN!E:E, match(A221, PIDtoTSN!A:A, 0))</f>
        <v>200097715</v>
      </c>
      <c r="C221" s="8" t="s">
        <v>1520</v>
      </c>
      <c r="D221" s="8" t="s">
        <v>1521</v>
      </c>
      <c r="E221" s="8" t="s">
        <v>336</v>
      </c>
      <c r="F221" s="19" t="str">
        <f t="array" ref="F221">index('Mentor Choices'!B:B, match(E221, 'Mentor Choices'!A:A, 0))</f>
        <v>Zhijian Liu</v>
      </c>
      <c r="G221" s="19" t="str">
        <f>IF(COUNTIF(Sept16!C:C, B221) &gt; 0, "yes", "no")</f>
        <v>yes</v>
      </c>
    </row>
    <row r="222">
      <c r="A222" s="8" t="s">
        <v>242</v>
      </c>
      <c r="B222" s="14">
        <f t="array" ref="B222">index(PIDtoTSN!E:E, match(A222, PIDtoTSN!A:A, 0))</f>
        <v>200097926</v>
      </c>
      <c r="C222" s="8" t="s">
        <v>1211</v>
      </c>
      <c r="D222" s="8" t="s">
        <v>1210</v>
      </c>
      <c r="E222" s="8" t="s">
        <v>197</v>
      </c>
      <c r="F222" s="19" t="str">
        <f t="array" ref="F222">index('Mentor Choices'!B:B, match(E222, 'Mentor Choices'!A:A, 0))</f>
        <v>Victor Minces</v>
      </c>
      <c r="G222" s="19" t="str">
        <f>IF(COUNTIF(Sept16!C:C, B222) &gt; 0, "yes", "no")</f>
        <v>yes</v>
      </c>
    </row>
    <row r="223">
      <c r="A223" s="8" t="s">
        <v>190</v>
      </c>
      <c r="B223" s="14">
        <f t="array" ref="B223">index(PIDtoTSN!E:E, match(A223, PIDtoTSN!A:A, 0))</f>
        <v>200092202</v>
      </c>
      <c r="C223" s="8" t="s">
        <v>1361</v>
      </c>
      <c r="D223" s="8" t="s">
        <v>1360</v>
      </c>
      <c r="E223" s="8" t="s">
        <v>58</v>
      </c>
      <c r="F223" s="19" t="str">
        <f t="array" ref="F223">index('Mentor Choices'!B:B, match(E223, 'Mentor Choices'!A:A, 0))</f>
        <v>Igor Sfiligoi</v>
      </c>
      <c r="G223" s="19" t="str">
        <f>IF(COUNTIF(Sept16!C:C, B223) &gt; 0, "yes", "no")</f>
        <v>yes</v>
      </c>
    </row>
    <row r="224">
      <c r="A224" s="8" t="s">
        <v>535</v>
      </c>
      <c r="B224" s="14">
        <f t="array" ref="B224">index(PIDtoTSN!E:E, match(A224, PIDtoTSN!A:A, 0))</f>
        <v>200088227</v>
      </c>
      <c r="C224" s="8" t="s">
        <v>536</v>
      </c>
      <c r="D224" s="8" t="s">
        <v>534</v>
      </c>
      <c r="E224" s="8" t="s">
        <v>70</v>
      </c>
      <c r="F224" s="19" t="str">
        <f t="array" ref="F224">index('Mentor Choices'!B:B, match(E224, 'Mentor Choices'!A:A, 0))</f>
        <v>Aobo Li</v>
      </c>
      <c r="G224" s="19" t="str">
        <f>IF(COUNTIF(Sept16!C:C, B224) &gt; 0, "yes", "no")</f>
        <v>yes</v>
      </c>
    </row>
    <row r="225">
      <c r="A225" s="8" t="s">
        <v>343</v>
      </c>
      <c r="B225" s="14">
        <f t="array" ref="B225">index(PIDtoTSN!E:E, match(A225, PIDtoTSN!A:A, 0))</f>
        <v>200090863</v>
      </c>
      <c r="C225" s="8" t="s">
        <v>476</v>
      </c>
      <c r="D225" s="8" t="s">
        <v>475</v>
      </c>
      <c r="E225" s="8" t="s">
        <v>105</v>
      </c>
      <c r="F225" s="19" t="str">
        <f t="array" ref="F225">index('Mentor Choices'!B:B, match(E225, 'Mentor Choices'!A:A, 0))</f>
        <v>Duncan Watson-Parris</v>
      </c>
      <c r="G225" s="19" t="str">
        <f>IF(COUNTIF(Sept16!C:C, B225) &gt; 0, "yes", "no")</f>
        <v>yes</v>
      </c>
    </row>
    <row r="226">
      <c r="A226" s="8" t="s">
        <v>1166</v>
      </c>
      <c r="B226" s="14">
        <f t="array" ref="B226">index(PIDtoTSN!E:E, match(A226, PIDtoTSN!A:A, 0))</f>
        <v>200085459</v>
      </c>
      <c r="C226" s="8" t="s">
        <v>1167</v>
      </c>
      <c r="D226" s="8" t="s">
        <v>1165</v>
      </c>
      <c r="E226" s="8" t="s">
        <v>166</v>
      </c>
      <c r="F226" s="19" t="str">
        <f t="array" ref="F226">index('Mentor Choices'!B:B, match(E226, 'Mentor Choices'!A:A, 0))</f>
        <v>Nathan Hui</v>
      </c>
      <c r="G226" s="19" t="str">
        <f>IF(COUNTIF(Sept16!C:C, B226) &gt; 0, "yes", "no")</f>
        <v>yes</v>
      </c>
    </row>
    <row r="227">
      <c r="A227" s="8" t="s">
        <v>1434</v>
      </c>
      <c r="B227" s="14">
        <f t="array" ref="B227">index(PIDtoTSN!E:E, match(A227, PIDtoTSN!A:A, 0))</f>
        <v>200086374</v>
      </c>
      <c r="C227" s="8" t="s">
        <v>1435</v>
      </c>
      <c r="D227" s="8" t="s">
        <v>1433</v>
      </c>
      <c r="E227" s="8" t="s">
        <v>235</v>
      </c>
      <c r="F227" s="19" t="str">
        <f t="array" ref="F227">index('Mentor Choices'!B:B, match(E227, 'Mentor Choices'!A:A, 0))</f>
        <v>Lily Weng</v>
      </c>
      <c r="G227" s="19" t="str">
        <f>IF(COUNTIF(Sept16!C:C, B227) &gt; 0, "yes", "no")</f>
        <v>yes</v>
      </c>
    </row>
    <row r="228">
      <c r="A228" s="8" t="s">
        <v>139</v>
      </c>
      <c r="B228" s="14">
        <f t="array" ref="B228">index(PIDtoTSN!E:E, match(A228, PIDtoTSN!A:A, 0))</f>
        <v>200083199</v>
      </c>
      <c r="C228" s="8" t="s">
        <v>762</v>
      </c>
      <c r="D228" s="8" t="s">
        <v>761</v>
      </c>
      <c r="E228" s="8" t="s">
        <v>58</v>
      </c>
      <c r="F228" s="19" t="str">
        <f t="array" ref="F228">index('Mentor Choices'!B:B, match(E228, 'Mentor Choices'!A:A, 0))</f>
        <v>Igor Sfiligoi</v>
      </c>
      <c r="G228" s="19" t="str">
        <f>IF(COUNTIF(Sept16!C:C, B228) &gt; 0, "yes", "no")</f>
        <v>yes</v>
      </c>
    </row>
    <row r="229">
      <c r="A229" s="8" t="s">
        <v>1399</v>
      </c>
      <c r="B229" s="14">
        <f t="array" ref="B229">index(PIDtoTSN!E:E, match(A229, PIDtoTSN!A:A, 0))</f>
        <v>200083669</v>
      </c>
      <c r="C229" s="8" t="s">
        <v>1400</v>
      </c>
      <c r="D229" s="8" t="s">
        <v>1398</v>
      </c>
      <c r="E229" s="8" t="s">
        <v>235</v>
      </c>
      <c r="F229" s="19" t="str">
        <f t="array" ref="F229">index('Mentor Choices'!B:B, match(E229, 'Mentor Choices'!A:A, 0))</f>
        <v>Lily Weng</v>
      </c>
      <c r="G229" s="19" t="str">
        <f>IF(COUNTIF(Sept16!C:C, B229) &gt; 0, "yes", "no")</f>
        <v>yes</v>
      </c>
    </row>
    <row r="230">
      <c r="A230" s="8" t="s">
        <v>556</v>
      </c>
      <c r="B230" s="14">
        <f t="array" ref="B230">index(PIDtoTSN!E:E, match(A230, PIDtoTSN!A:A, 0))</f>
        <v>200079461</v>
      </c>
      <c r="C230" s="8" t="s">
        <v>557</v>
      </c>
      <c r="D230" s="8" t="s">
        <v>555</v>
      </c>
      <c r="E230" s="8" t="s">
        <v>109</v>
      </c>
      <c r="F230" s="19" t="str">
        <f t="array" ref="F230">index('Mentor Choices'!B:B, match(E230, 'Mentor Choices'!A:A, 0))</f>
        <v>Mikio Aoi</v>
      </c>
      <c r="G230" s="19" t="str">
        <f>IF(COUNTIF(Sept16!C:C, B230) &gt; 0, "yes", "no")</f>
        <v>yes</v>
      </c>
    </row>
    <row r="231">
      <c r="A231" s="8" t="s">
        <v>337</v>
      </c>
      <c r="B231" s="14">
        <f t="array" ref="B231">index(PIDtoTSN!E:E, match(A231, PIDtoTSN!A:A, 0))</f>
        <v>200074286</v>
      </c>
      <c r="C231" s="8" t="s">
        <v>550</v>
      </c>
      <c r="D231" s="8" t="s">
        <v>549</v>
      </c>
      <c r="E231" s="8" t="s">
        <v>80</v>
      </c>
      <c r="F231" s="19" t="str">
        <f t="array" ref="F231">index('Mentor Choices'!B:B, match(E231, 'Mentor Choices'!A:A, 0))</f>
        <v>Biwei Huang</v>
      </c>
      <c r="G231" s="19" t="str">
        <f>IF(COUNTIF(Sept16!C:C, B231) &gt; 0, "yes", "no")</f>
        <v>yes</v>
      </c>
    </row>
    <row r="232">
      <c r="A232" s="8" t="s">
        <v>176</v>
      </c>
      <c r="B232" s="14">
        <f t="array" ref="B232">index(PIDtoTSN!E:E, match(A232, PIDtoTSN!A:A, 0))</f>
        <v>200071579</v>
      </c>
      <c r="C232" s="8" t="s">
        <v>872</v>
      </c>
      <c r="D232" s="8" t="s">
        <v>871</v>
      </c>
      <c r="E232" s="8" t="s">
        <v>59</v>
      </c>
      <c r="F232" s="19" t="str">
        <f t="array" ref="F232">index('Mentor Choices'!B:B, match(E232, 'Mentor Choices'!A:A, 0))</f>
        <v>Kyle Nero</v>
      </c>
      <c r="G232" s="19" t="str">
        <f>IF(COUNTIF(Sept16!C:C, B232) &gt; 0, "yes", "no")</f>
        <v>yes</v>
      </c>
    </row>
    <row r="233">
      <c r="A233" s="8" t="s">
        <v>263</v>
      </c>
      <c r="B233" s="14">
        <f t="array" ref="B233">index(PIDtoTSN!E:E, match(A233, PIDtoTSN!A:A, 0))</f>
        <v>200062432</v>
      </c>
      <c r="C233" s="8" t="s">
        <v>1266</v>
      </c>
      <c r="D233" s="8" t="s">
        <v>1265</v>
      </c>
      <c r="E233" s="8" t="s">
        <v>83</v>
      </c>
      <c r="F233" s="19" t="str">
        <f t="array" ref="F233">index('Mentor Choices'!B:B, match(E233, 'Mentor Choices'!A:A, 0))</f>
        <v>Armin Schwartzman</v>
      </c>
      <c r="G233" s="19" t="str">
        <f>IF(COUNTIF(Sept16!C:C, B233) &gt; 0, "yes", "no")</f>
        <v>yes</v>
      </c>
    </row>
    <row r="234">
      <c r="A234" s="8" t="s">
        <v>1508</v>
      </c>
      <c r="B234" s="14">
        <f t="array" ref="B234">index(PIDtoTSN!E:E, match(A234, PIDtoTSN!A:A, 0))</f>
        <v>200063349</v>
      </c>
      <c r="C234" s="8" t="s">
        <v>1509</v>
      </c>
      <c r="D234" s="8" t="s">
        <v>1510</v>
      </c>
      <c r="E234" s="8" t="s">
        <v>207</v>
      </c>
      <c r="F234" s="19" t="str">
        <f t="array" ref="F234">index('Mentor Choices'!B:B, match(E234, 'Mentor Choices'!A:A, 0))</f>
        <v>Alex Warstadt</v>
      </c>
      <c r="G234" s="19" t="str">
        <f>IF(COUNTIF(Sept16!C:C, B234) &gt; 0, "yes", "no")</f>
        <v>yes</v>
      </c>
    </row>
    <row r="235">
      <c r="A235" s="8" t="s">
        <v>1511</v>
      </c>
      <c r="B235" s="14">
        <f t="array" ref="B235">index(PIDtoTSN!E:E, match(A235, PIDtoTSN!A:A, 0))</f>
        <v>200063852</v>
      </c>
      <c r="C235" s="8" t="s">
        <v>1512</v>
      </c>
      <c r="D235" s="8" t="s">
        <v>1513</v>
      </c>
      <c r="E235" s="8" t="s">
        <v>171</v>
      </c>
      <c r="F235" s="19" t="str">
        <f t="array" ref="F235">index('Mentor Choices'!B:B, match(E235, 'Mentor Choices'!A:A, 0))</f>
        <v>Reem Khojah</v>
      </c>
      <c r="G235" s="19" t="str">
        <f>IF(COUNTIF(Sept16!C:C, B235) &gt; 0, "yes", "no")</f>
        <v>yes</v>
      </c>
    </row>
    <row r="236">
      <c r="A236" s="8" t="s">
        <v>101</v>
      </c>
      <c r="B236" s="14">
        <f t="array" ref="B236">index(PIDtoTSN!E:E, match(A236, PIDtoTSN!A:A, 0))</f>
        <v>200055712</v>
      </c>
      <c r="C236" s="8" t="s">
        <v>1251</v>
      </c>
      <c r="D236" s="8" t="s">
        <v>1250</v>
      </c>
      <c r="E236" s="8" t="s">
        <v>83</v>
      </c>
      <c r="F236" s="19" t="str">
        <f t="array" ref="F236">index('Mentor Choices'!B:B, match(E236, 'Mentor Choices'!A:A, 0))</f>
        <v>Armin Schwartzman</v>
      </c>
      <c r="G236" s="19" t="str">
        <f>IF(COUNTIF(Sept16!C:C, B236) &gt; 0, "yes", "no")</f>
        <v>yes</v>
      </c>
    </row>
    <row r="237">
      <c r="A237" s="8" t="s">
        <v>1042</v>
      </c>
      <c r="B237" s="14">
        <f t="array" ref="B237">index(PIDtoTSN!E:E, match(A237, PIDtoTSN!A:A, 0))</f>
        <v>200056297</v>
      </c>
      <c r="C237" s="8" t="s">
        <v>1043</v>
      </c>
      <c r="D237" s="8" t="s">
        <v>1041</v>
      </c>
      <c r="E237" s="8" t="s">
        <v>191</v>
      </c>
      <c r="F237" s="19" t="str">
        <f t="array" ref="F237">index('Mentor Choices'!B:B, match(E237, 'Mentor Choices'!A:A, 0))</f>
        <v>Tauhidur Rahaman</v>
      </c>
      <c r="G237" s="19" t="str">
        <f>IF(COUNTIF(Sept16!C:C, B237) &gt; 0, "yes", "no")</f>
        <v>yes</v>
      </c>
    </row>
    <row r="238">
      <c r="A238" s="8" t="s">
        <v>1143</v>
      </c>
      <c r="B238" s="14">
        <f t="array" ref="B238">index(PIDtoTSN!E:E, match(A238, PIDtoTSN!A:A, 0))</f>
        <v>200056638</v>
      </c>
      <c r="C238" s="8" t="s">
        <v>1144</v>
      </c>
      <c r="D238" s="8" t="s">
        <v>1142</v>
      </c>
      <c r="E238" s="8" t="s">
        <v>169</v>
      </c>
      <c r="F238" s="19" t="str">
        <f t="array" ref="F238">index('Mentor Choices'!B:B, match(E238, 'Mentor Choices'!A:A, 0))</f>
        <v>Rob Knight</v>
      </c>
      <c r="G238" s="19" t="str">
        <f>IF(COUNTIF(Sept16!C:C, B238) &gt; 0, "yes", "no")</f>
        <v>yes</v>
      </c>
    </row>
    <row r="239">
      <c r="A239" s="8" t="s">
        <v>1473</v>
      </c>
      <c r="B239" s="14">
        <f t="array" ref="B239">index(PIDtoTSN!E:E, match(A239, PIDtoTSN!A:A, 0))</f>
        <v>200056917</v>
      </c>
      <c r="C239" s="8" t="s">
        <v>1474</v>
      </c>
      <c r="D239" s="8" t="s">
        <v>1472</v>
      </c>
      <c r="E239" s="8" t="s">
        <v>145</v>
      </c>
      <c r="F239" s="19" t="str">
        <f t="array" ref="F239">index('Mentor Choices'!B:B, match(E239, 'Mentor Choices'!A:A, 0))</f>
        <v>Ilyes Meftah</v>
      </c>
      <c r="G239" s="19" t="str">
        <f>IF(COUNTIF(Sept16!C:C, B239) &gt; 0, "yes", "no")</f>
        <v>yes</v>
      </c>
    </row>
    <row r="240">
      <c r="A240" s="8" t="s">
        <v>1502</v>
      </c>
      <c r="B240" s="14">
        <f t="array" ref="B240">index(PIDtoTSN!E:E, match(A240, PIDtoTSN!A:A, 0))</f>
        <v>200057065</v>
      </c>
      <c r="C240" s="8" t="s">
        <v>1503</v>
      </c>
      <c r="D240" s="8" t="s">
        <v>1504</v>
      </c>
      <c r="E240" s="8" t="s">
        <v>235</v>
      </c>
      <c r="F240" s="19" t="str">
        <f t="array" ref="F240">index('Mentor Choices'!B:B, match(E240, 'Mentor Choices'!A:A, 0))</f>
        <v>Lily Weng</v>
      </c>
      <c r="G240" s="19" t="str">
        <f>IF(COUNTIF(Sept16!C:C, B240) &gt; 0, "yes", "no")</f>
        <v>yes</v>
      </c>
    </row>
    <row r="241">
      <c r="A241" s="8" t="s">
        <v>646</v>
      </c>
      <c r="B241" s="14">
        <f t="array" ref="B241">index(PIDtoTSN!E:E, match(A241, PIDtoTSN!A:A, 0))</f>
        <v>200058201</v>
      </c>
      <c r="C241" s="8" t="s">
        <v>647</v>
      </c>
      <c r="D241" s="8" t="s">
        <v>648</v>
      </c>
      <c r="E241" s="8" t="s">
        <v>289</v>
      </c>
      <c r="F241" s="19" t="str">
        <f t="array" ref="F241">index('Mentor Choices'!B:B, match(E241, 'Mentor Choices'!A:A, 0))</f>
        <v>Yusu Wang</v>
      </c>
      <c r="G241" s="19" t="str">
        <f>IF(COUNTIF(Sept16!C:C, B241) &gt; 0, "yes", "no")</f>
        <v>yes</v>
      </c>
    </row>
    <row r="242">
      <c r="A242" s="8" t="s">
        <v>1505</v>
      </c>
      <c r="B242" s="14">
        <f t="array" ref="B242">index(PIDtoTSN!E:E, match(A242, PIDtoTSN!A:A, 0))</f>
        <v>200058279</v>
      </c>
      <c r="C242" s="8" t="s">
        <v>1506</v>
      </c>
      <c r="D242" s="8" t="s">
        <v>1507</v>
      </c>
      <c r="E242" s="8" t="s">
        <v>364</v>
      </c>
      <c r="F242" s="19" t="str">
        <f t="array" ref="F242">index('Mentor Choices'!B:B, match(E242, 'Mentor Choices'!A:A, 0))</f>
        <v>Robert Wilderman</v>
      </c>
      <c r="G242" s="19" t="str">
        <f>IF(COUNTIF(Sept16!C:C, B242) &gt; 0, "yes", "no")</f>
        <v>yes</v>
      </c>
    </row>
    <row r="243">
      <c r="A243" s="8" t="s">
        <v>1495</v>
      </c>
      <c r="B243" s="14">
        <f t="array" ref="B243">index(PIDtoTSN!E:E, match(A243, PIDtoTSN!A:A, 0))</f>
        <v>200050938</v>
      </c>
      <c r="C243" s="8" t="s">
        <v>1496</v>
      </c>
      <c r="D243" s="8" t="s">
        <v>1497</v>
      </c>
      <c r="E243" s="8" t="s">
        <v>51</v>
      </c>
      <c r="F243" s="19" t="str">
        <f t="array" ref="F243">index('Mentor Choices'!B:B, match(E243, 'Mentor Choices'!A:A, 0))</f>
        <v>Renu Raman</v>
      </c>
      <c r="G243" s="19" t="str">
        <f>IF(COUNTIF(Sept16!C:C, B243) &gt; 0, "yes", "no")</f>
        <v>yes</v>
      </c>
    </row>
    <row r="244">
      <c r="A244" s="8" t="s">
        <v>413</v>
      </c>
      <c r="B244" s="14">
        <f t="array" ref="B244">index(PIDtoTSN!E:E, match(A244, PIDtoTSN!A:A, 0))</f>
        <v>200051055</v>
      </c>
      <c r="C244" s="8" t="s">
        <v>414</v>
      </c>
      <c r="D244" s="8" t="s">
        <v>412</v>
      </c>
      <c r="E244" s="8" t="s">
        <v>132</v>
      </c>
      <c r="F244" s="19" t="str">
        <f t="array" ref="F244">index('Mentor Choices'!B:B, match(E244, 'Mentor Choices'!A:A, 0))</f>
        <v>Tianhao Wang</v>
      </c>
      <c r="G244" s="19" t="str">
        <f>IF(COUNTIF(Sept16!C:C, B244) &gt; 0, "yes", "no")</f>
        <v>yes</v>
      </c>
    </row>
    <row r="245">
      <c r="A245" s="8" t="s">
        <v>649</v>
      </c>
      <c r="B245" s="14">
        <f t="array" ref="B245">index(PIDtoTSN!E:E, match(A245, PIDtoTSN!A:A, 0))</f>
        <v>200051825</v>
      </c>
      <c r="C245" s="8" t="s">
        <v>650</v>
      </c>
      <c r="D245" s="8" t="s">
        <v>651</v>
      </c>
      <c r="E245" s="8" t="s">
        <v>289</v>
      </c>
      <c r="F245" s="19" t="str">
        <f t="array" ref="F245">index('Mentor Choices'!B:B, match(E245, 'Mentor Choices'!A:A, 0))</f>
        <v>Yusu Wang</v>
      </c>
      <c r="G245" s="19" t="str">
        <f>IF(COUNTIF(Sept16!C:C, B245) &gt; 0, "yes", "no")</f>
        <v>yes</v>
      </c>
    </row>
    <row r="246">
      <c r="A246" s="8" t="s">
        <v>157</v>
      </c>
      <c r="B246" s="14">
        <f t="array" ref="B246">index(PIDtoTSN!E:E, match(A246, PIDtoTSN!A:A, 0))</f>
        <v>200051917</v>
      </c>
      <c r="C246" s="8" t="s">
        <v>751</v>
      </c>
      <c r="D246" s="8" t="s">
        <v>750</v>
      </c>
      <c r="E246" s="8" t="s">
        <v>58</v>
      </c>
      <c r="F246" s="19" t="str">
        <f t="array" ref="F246">index('Mentor Choices'!B:B, match(E246, 'Mentor Choices'!A:A, 0))</f>
        <v>Igor Sfiligoi</v>
      </c>
      <c r="G246" s="19" t="str">
        <f>IF(COUNTIF(Sept16!C:C, B246) &gt; 0, "yes", "no")</f>
        <v>yes</v>
      </c>
    </row>
    <row r="247">
      <c r="A247" s="8" t="s">
        <v>115</v>
      </c>
      <c r="B247" s="14">
        <f t="array" ref="B247">index(PIDtoTSN!E:E, match(A247, PIDtoTSN!A:A, 0))</f>
        <v>200052102</v>
      </c>
      <c r="C247" s="8" t="s">
        <v>690</v>
      </c>
      <c r="D247" s="8" t="s">
        <v>689</v>
      </c>
      <c r="E247" s="8" t="s">
        <v>56</v>
      </c>
      <c r="F247" s="19" t="str">
        <f t="array" ref="F247">index('Mentor Choices'!B:B, match(E247, 'Mentor Choices'!A:A, 0))</f>
        <v>Gabriel Garzo</v>
      </c>
      <c r="G247" s="19" t="str">
        <f>IF(COUNTIF(Sept16!C:C, B247) &gt; 0, "yes", "no")</f>
        <v>yes</v>
      </c>
    </row>
    <row r="248">
      <c r="A248" s="8" t="s">
        <v>296</v>
      </c>
      <c r="B248" s="14">
        <f t="array" ref="B248">index(PIDtoTSN!E:E, match(A248, PIDtoTSN!A:A, 0))</f>
        <v>200052215</v>
      </c>
      <c r="C248" s="8" t="s">
        <v>1427</v>
      </c>
      <c r="D248" s="8" t="s">
        <v>1426</v>
      </c>
      <c r="E248" s="8" t="s">
        <v>82</v>
      </c>
      <c r="F248" s="19" t="str">
        <f t="array" ref="F248">index('Mentor Choices'!B:B, match(E248, 'Mentor Choices'!A:A, 0))</f>
        <v>Jingbo Shang</v>
      </c>
      <c r="G248" s="19" t="str">
        <f>IF(COUNTIF(Sept16!C:C, B248) &gt; 0, "yes", "no")</f>
        <v>yes</v>
      </c>
    </row>
    <row r="249">
      <c r="A249" s="8" t="s">
        <v>652</v>
      </c>
      <c r="B249" s="14">
        <f t="array" ref="B249">index(PIDtoTSN!E:E, match(A249, PIDtoTSN!A:A, 0))</f>
        <v>200052354</v>
      </c>
      <c r="C249" s="8" t="s">
        <v>654</v>
      </c>
      <c r="D249" s="8" t="s">
        <v>656</v>
      </c>
      <c r="E249" s="8" t="s">
        <v>289</v>
      </c>
      <c r="F249" s="19" t="str">
        <f t="array" ref="F249">index('Mentor Choices'!B:B, match(E249, 'Mentor Choices'!A:A, 0))</f>
        <v>Yusu Wang</v>
      </c>
      <c r="G249" s="19" t="str">
        <f>IF(COUNTIF(Sept16!C:C, B249) &gt; 0, "yes", "no")</f>
        <v>yes</v>
      </c>
    </row>
    <row r="250">
      <c r="A250" s="8" t="s">
        <v>658</v>
      </c>
      <c r="B250" s="14">
        <f t="array" ref="B250">index(PIDtoTSN!E:E, match(A250, PIDtoTSN!A:A, 0))</f>
        <v>200052464</v>
      </c>
      <c r="C250" s="8" t="s">
        <v>659</v>
      </c>
      <c r="D250" s="8" t="s">
        <v>660</v>
      </c>
      <c r="E250" s="8" t="s">
        <v>126</v>
      </c>
      <c r="F250" s="19" t="str">
        <f t="array" ref="F250">index('Mentor Choices'!B:B, match(E250, 'Mentor Choices'!A:A, 0))</f>
        <v>Igor Sfiligoi</v>
      </c>
      <c r="G250" s="19" t="str">
        <f>IF(COUNTIF(Sept16!C:C, B250) &gt; 0, "yes", "no")</f>
        <v>yes</v>
      </c>
    </row>
    <row r="251">
      <c r="A251" s="8" t="s">
        <v>1443</v>
      </c>
      <c r="B251" s="14">
        <f t="array" ref="B251">index(PIDtoTSN!E:E, match(A251, PIDtoTSN!A:A, 0))</f>
        <v>200052820</v>
      </c>
      <c r="C251" s="8" t="s">
        <v>1444</v>
      </c>
      <c r="D251" s="8" t="s">
        <v>1442</v>
      </c>
      <c r="E251" s="8" t="s">
        <v>36</v>
      </c>
      <c r="F251" s="19" t="str">
        <f t="array" ref="F251">index('Mentor Choices'!B:B, match(E251, 'Mentor Choices'!A:A, 0))</f>
        <v>Ali Arsanjani</v>
      </c>
      <c r="G251" s="19" t="str">
        <f>IF(COUNTIF(Sept16!C:C, B251) &gt; 0, "yes", "no")</f>
        <v>yes</v>
      </c>
    </row>
    <row r="252">
      <c r="A252" s="8" t="s">
        <v>385</v>
      </c>
      <c r="B252" s="14">
        <f t="array" ref="B252">index(PIDtoTSN!E:E, match(A252, PIDtoTSN!A:A, 0))</f>
        <v>200053152</v>
      </c>
      <c r="C252" s="8" t="s">
        <v>1499</v>
      </c>
      <c r="D252" s="8" t="s">
        <v>1500</v>
      </c>
      <c r="E252" s="8" t="s">
        <v>336</v>
      </c>
      <c r="F252" s="19" t="str">
        <f t="array" ref="F252">index('Mentor Choices'!B:B, match(E252, 'Mentor Choices'!A:A, 0))</f>
        <v>Zhijian Liu</v>
      </c>
      <c r="G252" s="19" t="str">
        <f>IF(COUNTIF(Sept16!C:C, B252) &gt; 0, "yes", "no")</f>
        <v>yes</v>
      </c>
    </row>
    <row r="253">
      <c r="A253" s="8" t="s">
        <v>92</v>
      </c>
      <c r="B253" s="14">
        <f t="array" ref="B253">index(PIDtoTSN!E:E, match(A253, PIDtoTSN!A:A, 0))</f>
        <v>200053944</v>
      </c>
      <c r="C253" s="8" t="s">
        <v>532</v>
      </c>
      <c r="D253" s="8" t="s">
        <v>531</v>
      </c>
      <c r="E253" s="8" t="s">
        <v>73</v>
      </c>
      <c r="F253" s="19" t="str">
        <f t="array" ref="F253">index('Mentor Choices'!B:B, match(E253, 'Mentor Choices'!A:A, 0))</f>
        <v>Ben Smarr</v>
      </c>
      <c r="G253" s="19" t="str">
        <f>IF(COUNTIF(Sept16!C:C, B253) &gt; 0, "yes", "no")</f>
        <v>yes</v>
      </c>
    </row>
    <row r="254">
      <c r="A254" s="8" t="s">
        <v>1365</v>
      </c>
      <c r="B254" s="14">
        <f t="array" ref="B254">index(PIDtoTSN!E:E, match(A254, PIDtoTSN!A:A, 0))</f>
        <v>200053991</v>
      </c>
      <c r="C254" s="8" t="s">
        <v>1366</v>
      </c>
      <c r="D254" s="8" t="s">
        <v>1364</v>
      </c>
      <c r="E254" s="8" t="s">
        <v>305</v>
      </c>
      <c r="F254" s="19" t="str">
        <f t="array" ref="F254">index('Mentor Choices'!B:B, match(E254, 'Mentor Choices'!A:A, 0))</f>
        <v>Rajesh Gupta</v>
      </c>
      <c r="G254" s="19" t="str">
        <f>IF(COUNTIF(Sept16!C:C, B254) &gt; 0, "yes", "no")</f>
        <v>yes</v>
      </c>
    </row>
    <row r="255">
      <c r="A255" s="8" t="s">
        <v>923</v>
      </c>
      <c r="B255" s="14">
        <f t="array" ref="B255">index(PIDtoTSN!E:E, match(A255, PIDtoTSN!A:A, 0))</f>
        <v>200046774</v>
      </c>
      <c r="C255" s="8" t="s">
        <v>925</v>
      </c>
      <c r="D255" s="8" t="s">
        <v>922</v>
      </c>
      <c r="E255" s="8" t="s">
        <v>80</v>
      </c>
      <c r="F255" s="19" t="str">
        <f t="array" ref="F255">index('Mentor Choices'!B:B, match(E255, 'Mentor Choices'!A:A, 0))</f>
        <v>Biwei Huang</v>
      </c>
      <c r="G255" s="19" t="str">
        <f>IF(COUNTIF(Sept16!C:C, B255) &gt; 0, "yes", "no")</f>
        <v>yes</v>
      </c>
    </row>
    <row r="256">
      <c r="A256" s="8" t="s">
        <v>268</v>
      </c>
      <c r="B256" s="14">
        <f t="array" ref="B256">index(PIDtoTSN!E:E, match(A256, PIDtoTSN!A:A, 0))</f>
        <v>200047950</v>
      </c>
      <c r="C256" s="8" t="s">
        <v>1229</v>
      </c>
      <c r="D256" s="8" t="s">
        <v>1228</v>
      </c>
      <c r="E256" s="8" t="s">
        <v>83</v>
      </c>
      <c r="F256" s="19" t="str">
        <f t="array" ref="F256">index('Mentor Choices'!B:B, match(E256, 'Mentor Choices'!A:A, 0))</f>
        <v>Armin Schwartzman</v>
      </c>
      <c r="G256" s="19" t="str">
        <f>IF(COUNTIF(Sept16!C:C, B256) &gt; 0, "yes", "no")</f>
        <v>yes</v>
      </c>
    </row>
    <row r="257">
      <c r="A257" s="8" t="s">
        <v>94</v>
      </c>
      <c r="B257" s="14">
        <f t="array" ref="B257">index(PIDtoTSN!E:E, match(A257, PIDtoTSN!A:A, 0))</f>
        <v>200048020</v>
      </c>
      <c r="C257" s="8" t="s">
        <v>564</v>
      </c>
      <c r="D257" s="8" t="s">
        <v>563</v>
      </c>
      <c r="E257" s="8" t="s">
        <v>55</v>
      </c>
      <c r="F257" s="19" t="str">
        <f t="array" ref="F257">index('Mentor Choices'!B:B, match(E257, 'Mentor Choices'!A:A, 0))</f>
        <v>Haojian Jin</v>
      </c>
      <c r="G257" s="19" t="str">
        <f>IF(COUNTIF(Sept16!C:C, B257) &gt; 0, "yes", "no")</f>
        <v>yes</v>
      </c>
    </row>
    <row r="258">
      <c r="A258" s="8" t="s">
        <v>133</v>
      </c>
      <c r="B258" s="14">
        <f t="array" ref="B258">index(PIDtoTSN!E:E, match(A258, PIDtoTSN!A:A, 0))</f>
        <v>200048534</v>
      </c>
      <c r="C258" s="8" t="s">
        <v>743</v>
      </c>
      <c r="D258" s="8" t="s">
        <v>742</v>
      </c>
      <c r="E258" s="8" t="s">
        <v>58</v>
      </c>
      <c r="F258" s="19" t="str">
        <f t="array" ref="F258">index('Mentor Choices'!B:B, match(E258, 'Mentor Choices'!A:A, 0))</f>
        <v>Igor Sfiligoi</v>
      </c>
      <c r="G258" s="19" t="str">
        <f>IF(COUNTIF(Sept16!C:C, B258) &gt; 0, "yes", "no")</f>
        <v>yes</v>
      </c>
    </row>
    <row r="259">
      <c r="A259" s="8" t="s">
        <v>351</v>
      </c>
      <c r="B259" s="14">
        <f t="array" ref="B259">index(PIDtoTSN!E:E, match(A259, PIDtoTSN!A:A, 0))</f>
        <v>200048597</v>
      </c>
      <c r="C259" s="8" t="s">
        <v>352</v>
      </c>
      <c r="D259" s="8" t="s">
        <v>350</v>
      </c>
      <c r="E259" s="8" t="s">
        <v>55</v>
      </c>
      <c r="F259" s="19" t="str">
        <f t="array" ref="F259">index('Mentor Choices'!B:B, match(E259, 'Mentor Choices'!A:A, 0))</f>
        <v>Haojian Jin</v>
      </c>
      <c r="G259" s="19" t="str">
        <f>IF(COUNTIF(Sept16!C:C, B259) &gt; 0, "yes", "no")</f>
        <v>yes</v>
      </c>
    </row>
    <row r="260">
      <c r="A260" s="8" t="s">
        <v>231</v>
      </c>
      <c r="B260" s="14">
        <f t="array" ref="B260">index(PIDtoTSN!E:E, match(A260, PIDtoTSN!A:A, 0))</f>
        <v>200048838</v>
      </c>
      <c r="C260" s="8" t="s">
        <v>1183</v>
      </c>
      <c r="D260" s="8" t="s">
        <v>1182</v>
      </c>
      <c r="E260" s="8" t="s">
        <v>66</v>
      </c>
      <c r="F260" s="19" t="str">
        <f t="array" ref="F260">index('Mentor Choices'!B:B, match(E260, 'Mentor Choices'!A:A, 0))</f>
        <v>Tiffany Amariuta</v>
      </c>
      <c r="G260" s="19" t="str">
        <f>IF(COUNTIF(Sept16!C:C, B260) &gt; 0, "yes", "no")</f>
        <v>yes</v>
      </c>
    </row>
    <row r="261">
      <c r="A261" s="8" t="s">
        <v>1238</v>
      </c>
      <c r="B261" s="14">
        <f t="array" ref="B261">index(PIDtoTSN!E:E, match(A261, PIDtoTSN!A:A, 0))</f>
        <v>200049873</v>
      </c>
      <c r="C261" s="8" t="s">
        <v>1239</v>
      </c>
      <c r="D261" s="8" t="s">
        <v>1237</v>
      </c>
      <c r="E261" s="8" t="s">
        <v>34</v>
      </c>
      <c r="F261" s="19" t="str">
        <f t="array" ref="F261">index('Mentor Choices'!B:B, match(E261, 'Mentor Choices'!A:A, 0))</f>
        <v>Misha Belkin</v>
      </c>
      <c r="G261" s="19" t="str">
        <f>IF(COUNTIF(Sept16!C:C, B261) &gt; 0, "yes", "no")</f>
        <v>yes</v>
      </c>
    </row>
    <row r="262">
      <c r="A262" s="8" t="s">
        <v>184</v>
      </c>
      <c r="B262" s="14">
        <f t="array" ref="B262">index(PIDtoTSN!E:E, match(A262, PIDtoTSN!A:A, 0))</f>
        <v>200049942</v>
      </c>
      <c r="C262" s="8" t="s">
        <v>892</v>
      </c>
      <c r="D262" s="8" t="s">
        <v>889</v>
      </c>
      <c r="E262" s="8" t="s">
        <v>59</v>
      </c>
      <c r="F262" s="19" t="str">
        <f t="array" ref="F262">index('Mentor Choices'!B:B, match(E262, 'Mentor Choices'!A:A, 0))</f>
        <v>Kyle Nero</v>
      </c>
      <c r="G262" s="19" t="str">
        <f>IF(COUNTIF(Sept16!C:C, B262) &gt; 0, "yes", "no")</f>
        <v>yes</v>
      </c>
    </row>
    <row r="263">
      <c r="A263" s="8" t="s">
        <v>661</v>
      </c>
      <c r="B263" s="14">
        <f t="array" ref="B263">index(PIDtoTSN!E:E, match(A263, PIDtoTSN!A:A, 0))</f>
        <v>200043211</v>
      </c>
      <c r="C263" s="8" t="s">
        <v>662</v>
      </c>
      <c r="D263" s="8" t="s">
        <v>663</v>
      </c>
      <c r="E263" s="8" t="s">
        <v>126</v>
      </c>
      <c r="F263" s="19" t="str">
        <f t="array" ref="F263">index('Mentor Choices'!B:B, match(E263, 'Mentor Choices'!A:A, 0))</f>
        <v>Igor Sfiligoi</v>
      </c>
      <c r="G263" s="19" t="str">
        <f>IF(COUNTIF(Sept16!C:C, B263) &gt; 0, "yes", "no")</f>
        <v>yes</v>
      </c>
    </row>
    <row r="264">
      <c r="A264" s="8" t="s">
        <v>329</v>
      </c>
      <c r="B264" s="14">
        <f t="array" ref="B264">index(PIDtoTSN!E:E, match(A264, PIDtoTSN!A:A, 0))</f>
        <v>200043491</v>
      </c>
      <c r="C264" s="8" t="s">
        <v>1486</v>
      </c>
      <c r="D264" s="8" t="s">
        <v>1487</v>
      </c>
      <c r="E264" s="8" t="s">
        <v>341</v>
      </c>
      <c r="F264" s="19" t="str">
        <f t="array" ref="F264">index('Mentor Choices'!B:B, match(E264, 'Mentor Choices'!A:A, 0))</f>
        <v>Arya Mazumdar</v>
      </c>
      <c r="G264" s="19" t="str">
        <f>IF(COUNTIF(Sept16!C:C, B264) &gt; 0, "yes", "no")</f>
        <v>yes</v>
      </c>
    </row>
    <row r="265">
      <c r="A265" s="8" t="s">
        <v>934</v>
      </c>
      <c r="B265" s="14">
        <f t="array" ref="B265">index(PIDtoTSN!E:E, match(A265, PIDtoTSN!A:A, 0))</f>
        <v>200043640</v>
      </c>
      <c r="C265" s="8" t="s">
        <v>935</v>
      </c>
      <c r="D265" s="8" t="s">
        <v>933</v>
      </c>
      <c r="E265" s="8" t="s">
        <v>191</v>
      </c>
      <c r="F265" s="19" t="str">
        <f t="array" ref="F265">index('Mentor Choices'!B:B, match(E265, 'Mentor Choices'!A:A, 0))</f>
        <v>Tauhidur Rahaman</v>
      </c>
      <c r="G265" s="19" t="str">
        <f>IF(COUNTIF(Sept16!C:C, B265) &gt; 0, "yes", "no")</f>
        <v>yes</v>
      </c>
    </row>
    <row r="266">
      <c r="A266" s="8" t="s">
        <v>118</v>
      </c>
      <c r="B266" s="14">
        <f t="array" ref="B266">index(PIDtoTSN!E:E, match(A266, PIDtoTSN!A:A, 0))</f>
        <v>200044338</v>
      </c>
      <c r="C266" s="8" t="s">
        <v>677</v>
      </c>
      <c r="D266" s="8" t="s">
        <v>676</v>
      </c>
      <c r="E266" s="8" t="s">
        <v>56</v>
      </c>
      <c r="F266" s="19" t="str">
        <f t="array" ref="F266">index('Mentor Choices'!B:B, match(E266, 'Mentor Choices'!A:A, 0))</f>
        <v>Gabriel Garzo</v>
      </c>
      <c r="G266" s="19" t="str">
        <f>IF(COUNTIF(Sept16!C:C, B266) &gt; 0, "yes", "no")</f>
        <v>yes</v>
      </c>
    </row>
    <row r="267">
      <c r="A267" s="8" t="s">
        <v>1351</v>
      </c>
      <c r="B267" s="14">
        <f t="array" ref="B267">index(PIDtoTSN!E:E, match(A267, PIDtoTSN!A:A, 0))</f>
        <v>200044447</v>
      </c>
      <c r="C267" s="8" t="s">
        <v>1352</v>
      </c>
      <c r="D267" s="8" t="s">
        <v>1350</v>
      </c>
      <c r="E267" s="8" t="s">
        <v>323</v>
      </c>
      <c r="F267" s="19" t="str">
        <f t="array" ref="F267">index('Mentor Choices'!B:B, match(E267, 'Mentor Choices'!A:A, 0))</f>
        <v>Peter Chi</v>
      </c>
      <c r="G267" s="19" t="str">
        <f>IF(COUNTIF(Sept16!C:C, B267) &gt; 0, "yes", "no")</f>
        <v>yes</v>
      </c>
    </row>
    <row r="268">
      <c r="A268" s="8" t="s">
        <v>1057</v>
      </c>
      <c r="B268" s="14">
        <f t="array" ref="B268">index(PIDtoTSN!E:E, match(A268, PIDtoTSN!A:A, 0))</f>
        <v>200044476</v>
      </c>
      <c r="C268" s="8" t="s">
        <v>1058</v>
      </c>
      <c r="D268" s="8" t="s">
        <v>1055</v>
      </c>
      <c r="E268" s="8" t="s">
        <v>55</v>
      </c>
      <c r="F268" s="19" t="str">
        <f t="array" ref="F268">index('Mentor Choices'!B:B, match(E268, 'Mentor Choices'!A:A, 0))</f>
        <v>Haojian Jin</v>
      </c>
      <c r="G268" s="19" t="str">
        <f>IF(COUNTIF(Sept16!C:C, B268) &gt; 0, "yes", "no")</f>
        <v>yes</v>
      </c>
    </row>
    <row r="269">
      <c r="A269" s="8" t="s">
        <v>1316</v>
      </c>
      <c r="B269" s="14">
        <f t="array" ref="B269">index(PIDtoTSN!E:E, match(A269, PIDtoTSN!A:A, 0))</f>
        <v>200044600</v>
      </c>
      <c r="C269" s="8" t="s">
        <v>1317</v>
      </c>
      <c r="D269" s="8" t="s">
        <v>1315</v>
      </c>
      <c r="E269" s="8" t="s">
        <v>364</v>
      </c>
      <c r="F269" s="19" t="str">
        <f t="array" ref="F269">index('Mentor Choices'!B:B, match(E269, 'Mentor Choices'!A:A, 0))</f>
        <v>Robert Wilderman</v>
      </c>
      <c r="G269" s="19" t="str">
        <f>IF(COUNTIF(Sept16!C:C, B269) &gt; 0, "yes", "no")</f>
        <v>yes</v>
      </c>
    </row>
    <row r="270">
      <c r="A270" s="8" t="s">
        <v>98</v>
      </c>
      <c r="B270" s="14">
        <f t="array" ref="B270">index(PIDtoTSN!E:E, match(A270, PIDtoTSN!A:A, 0))</f>
        <v>200044917</v>
      </c>
      <c r="C270" s="8" t="s">
        <v>1488</v>
      </c>
      <c r="D270" s="8" t="s">
        <v>1489</v>
      </c>
      <c r="E270" s="8" t="s">
        <v>55</v>
      </c>
      <c r="F270" s="19" t="str">
        <f t="array" ref="F270">index('Mentor Choices'!B:B, match(E270, 'Mentor Choices'!A:A, 0))</f>
        <v>Haojian Jin</v>
      </c>
      <c r="G270" s="19" t="str">
        <f>IF(COUNTIF(Sept16!C:C, B270) &gt; 0, "yes", "no")</f>
        <v>yes</v>
      </c>
    </row>
    <row r="271">
      <c r="A271" s="8" t="s">
        <v>26</v>
      </c>
      <c r="B271" s="14">
        <f t="array" ref="B271">index(PIDtoTSN!E:E, match(A271, PIDtoTSN!A:A, 0))</f>
        <v>200045940</v>
      </c>
      <c r="C271" s="8" t="s">
        <v>27</v>
      </c>
      <c r="D271" s="8" t="s">
        <v>25</v>
      </c>
      <c r="E271" s="8" t="s">
        <v>36</v>
      </c>
      <c r="F271" s="19" t="str">
        <f t="array" ref="F271">index('Mentor Choices'!B:B, match(E271, 'Mentor Choices'!A:A, 0))</f>
        <v>Ali Arsanjani</v>
      </c>
      <c r="G271" s="19" t="str">
        <f>IF(COUNTIF(Sept16!C:C, B271) &gt; 0, "yes", "no")</f>
        <v>yes</v>
      </c>
    </row>
    <row r="272">
      <c r="A272" s="8" t="s">
        <v>842</v>
      </c>
      <c r="B272" s="14">
        <f t="array" ref="B272">index(PIDtoTSN!E:E, match(A272, PIDtoTSN!A:A, 0))</f>
        <v>200046210</v>
      </c>
      <c r="C272" s="8" t="s">
        <v>843</v>
      </c>
      <c r="D272" s="8" t="s">
        <v>841</v>
      </c>
      <c r="E272" s="8" t="s">
        <v>110</v>
      </c>
      <c r="F272" s="19" t="str">
        <f t="array" ref="F272">index('Mentor Choices'!B:B, match(E272, 'Mentor Choices'!A:A, 0))</f>
        <v>Emily Aiken</v>
      </c>
      <c r="G272" s="19" t="str">
        <f>IF(COUNTIF(Sept16!C:C, B272) &gt; 0, "yes", "no")</f>
        <v>yes</v>
      </c>
    </row>
    <row r="273">
      <c r="A273" s="8" t="s">
        <v>1491</v>
      </c>
      <c r="B273" s="14">
        <f t="array" ref="B273">index(PIDtoTSN!E:E, match(A273, PIDtoTSN!A:A, 0))</f>
        <v>200046341</v>
      </c>
      <c r="C273" s="8" t="s">
        <v>1492</v>
      </c>
      <c r="D273" s="8" t="s">
        <v>1493</v>
      </c>
      <c r="E273" s="8" t="s">
        <v>305</v>
      </c>
      <c r="F273" s="19" t="str">
        <f t="array" ref="F273">index('Mentor Choices'!B:B, match(E273, 'Mentor Choices'!A:A, 0))</f>
        <v>Rajesh Gupta</v>
      </c>
      <c r="G273" s="19" t="str">
        <f>IF(COUNTIF(Sept16!C:C, B273) &gt; 0, "yes", "no")</f>
        <v>yes</v>
      </c>
    </row>
    <row r="274">
      <c r="A274" s="8" t="s">
        <v>1283</v>
      </c>
      <c r="B274" s="14">
        <f t="array" ref="B274">index(PIDtoTSN!E:E, match(A274, PIDtoTSN!A:A, 0))</f>
        <v>200046424</v>
      </c>
      <c r="C274" s="8" t="s">
        <v>1284</v>
      </c>
      <c r="D274" s="8" t="s">
        <v>1282</v>
      </c>
      <c r="E274" s="8" t="s">
        <v>289</v>
      </c>
      <c r="F274" s="19" t="str">
        <f t="array" ref="F274">index('Mentor Choices'!B:B, match(E274, 'Mentor Choices'!A:A, 0))</f>
        <v>Yusu Wang</v>
      </c>
      <c r="G274" s="19" t="str">
        <f>IF(COUNTIF(Sept16!C:C, B274) &gt; 0, "yes", "no")</f>
        <v>yes</v>
      </c>
    </row>
    <row r="275">
      <c r="A275" s="8" t="s">
        <v>239</v>
      </c>
      <c r="B275" s="14">
        <f t="array" ref="B275">index(PIDtoTSN!E:E, match(A275, PIDtoTSN!A:A, 0))</f>
        <v>200040087</v>
      </c>
      <c r="C275" s="8" t="s">
        <v>1471</v>
      </c>
      <c r="D275" s="8" t="s">
        <v>1201</v>
      </c>
      <c r="E275" s="8" t="s">
        <v>197</v>
      </c>
      <c r="F275" s="19" t="str">
        <f t="array" ref="F275">index('Mentor Choices'!B:B, match(E275, 'Mentor Choices'!A:A, 0))</f>
        <v>Victor Minces</v>
      </c>
      <c r="G275" s="19" t="str">
        <f>IF(COUNTIF(Sept16!C:C, B275) &gt; 0, "yes", "no")</f>
        <v>yes</v>
      </c>
    </row>
    <row r="276">
      <c r="A276" s="8" t="s">
        <v>282</v>
      </c>
      <c r="B276" s="14">
        <f t="array" ref="B276">index(PIDtoTSN!E:E, match(A276, PIDtoTSN!A:A, 0))</f>
        <v>200040106</v>
      </c>
      <c r="C276" s="8" t="s">
        <v>379</v>
      </c>
      <c r="D276" s="8" t="s">
        <v>377</v>
      </c>
      <c r="E276" s="8" t="s">
        <v>36</v>
      </c>
      <c r="F276" s="19" t="str">
        <f t="array" ref="F276">index('Mentor Choices'!B:B, match(E276, 'Mentor Choices'!A:A, 0))</f>
        <v>Ali Arsanjani</v>
      </c>
      <c r="G276" s="19" t="str">
        <f>IF(COUNTIF(Sept16!C:C, B276) &gt; 0, "yes", "no")</f>
        <v>yes</v>
      </c>
    </row>
    <row r="277">
      <c r="A277" s="8" t="s">
        <v>1078</v>
      </c>
      <c r="B277" s="14">
        <f t="array" ref="B277">index(PIDtoTSN!E:E, match(A277, PIDtoTSN!A:A, 0))</f>
        <v>200040133</v>
      </c>
      <c r="C277" s="8" t="s">
        <v>1079</v>
      </c>
      <c r="D277" s="8" t="s">
        <v>1077</v>
      </c>
      <c r="E277" s="8" t="s">
        <v>132</v>
      </c>
      <c r="F277" s="19" t="str">
        <f t="array" ref="F277">index('Mentor Choices'!B:B, match(E277, 'Mentor Choices'!A:A, 0))</f>
        <v>Tianhao Wang</v>
      </c>
      <c r="G277" s="19" t="str">
        <f>IF(COUNTIF(Sept16!C:C, B277) &gt; 0, "yes", "no")</f>
        <v>yes</v>
      </c>
    </row>
    <row r="278">
      <c r="A278" s="8" t="s">
        <v>156</v>
      </c>
      <c r="B278" s="14">
        <f t="array" ref="B278">index(PIDtoTSN!E:E, match(A278, PIDtoTSN!A:A, 0))</f>
        <v>200040486</v>
      </c>
      <c r="C278" s="8" t="s">
        <v>1006</v>
      </c>
      <c r="D278" s="8" t="s">
        <v>1005</v>
      </c>
      <c r="E278" s="8" t="s">
        <v>166</v>
      </c>
      <c r="F278" s="19" t="str">
        <f t="array" ref="F278">index('Mentor Choices'!B:B, match(E278, 'Mentor Choices'!A:A, 0))</f>
        <v>Nathan Hui</v>
      </c>
      <c r="G278" s="19" t="str">
        <f>IF(COUNTIF(Sept16!C:C, B278) &gt; 0, "yes", "no")</f>
        <v>yes</v>
      </c>
    </row>
    <row r="279">
      <c r="A279" s="8" t="s">
        <v>264</v>
      </c>
      <c r="B279" s="14">
        <f t="array" ref="B279">index(PIDtoTSN!E:E, match(A279, PIDtoTSN!A:A, 0))</f>
        <v>200040764</v>
      </c>
      <c r="C279" s="8" t="s">
        <v>1287</v>
      </c>
      <c r="D279" s="8" t="s">
        <v>1286</v>
      </c>
      <c r="E279" s="8" t="s">
        <v>83</v>
      </c>
      <c r="F279" s="19" t="str">
        <f t="array" ref="F279">index('Mentor Choices'!B:B, match(E279, 'Mentor Choices'!A:A, 0))</f>
        <v>Armin Schwartzman</v>
      </c>
      <c r="G279" s="19" t="str">
        <f>IF(COUNTIF(Sept16!C:C, B279) &gt; 0, "yes", "no")</f>
        <v>yes</v>
      </c>
    </row>
    <row r="280">
      <c r="A280" s="8" t="s">
        <v>881</v>
      </c>
      <c r="B280" s="14">
        <f t="array" ref="B280">index(PIDtoTSN!E:E, match(A280, PIDtoTSN!A:A, 0))</f>
        <v>200042143</v>
      </c>
      <c r="C280" s="8" t="s">
        <v>882</v>
      </c>
      <c r="D280" s="8" t="s">
        <v>880</v>
      </c>
      <c r="E280" s="8" t="s">
        <v>80</v>
      </c>
      <c r="F280" s="19" t="str">
        <f t="array" ref="F280">index('Mentor Choices'!B:B, match(E280, 'Mentor Choices'!A:A, 0))</f>
        <v>Biwei Huang</v>
      </c>
      <c r="G280" s="19" t="str">
        <f>IF(COUNTIF(Sept16!C:C, B280) &gt; 0, "yes", "no")</f>
        <v>yes</v>
      </c>
    </row>
    <row r="281">
      <c r="A281" s="8" t="s">
        <v>1477</v>
      </c>
      <c r="B281" s="14">
        <f t="array" ref="B281">index(PIDtoTSN!E:E, match(A281, PIDtoTSN!A:A, 0))</f>
        <v>200042229</v>
      </c>
      <c r="C281" s="8" t="s">
        <v>1478</v>
      </c>
      <c r="D281" s="8" t="s">
        <v>1479</v>
      </c>
      <c r="E281" s="8" t="s">
        <v>34</v>
      </c>
      <c r="F281" s="19" t="str">
        <f t="array" ref="F281">index('Mentor Choices'!B:B, match(E281, 'Mentor Choices'!A:A, 0))</f>
        <v>Misha Belkin</v>
      </c>
      <c r="G281" s="19" t="str">
        <f>IF(COUNTIF(Sept16!C:C, B281) &gt; 0, "yes", "no")</f>
        <v>yes</v>
      </c>
    </row>
    <row r="282">
      <c r="A282" s="8" t="s">
        <v>313</v>
      </c>
      <c r="B282" s="14">
        <f t="array" ref="B282">index(PIDtoTSN!E:E, match(A282, PIDtoTSN!A:A, 0))</f>
        <v>200042236</v>
      </c>
      <c r="C282" s="8" t="s">
        <v>1467</v>
      </c>
      <c r="D282" s="8" t="s">
        <v>1466</v>
      </c>
      <c r="E282" s="8" t="s">
        <v>54</v>
      </c>
      <c r="F282" s="19" t="str">
        <f t="array" ref="F282">index('Mentor Choices'!B:B, match(E282, 'Mentor Choices'!A:A, 0))</f>
        <v>Ryan Lingo</v>
      </c>
      <c r="G282" s="19" t="str">
        <f>IF(COUNTIF(Sept16!C:C, B282) &gt; 0, "yes", "no")</f>
        <v>yes</v>
      </c>
    </row>
    <row r="283">
      <c r="A283" s="8" t="s">
        <v>664</v>
      </c>
      <c r="B283" s="14">
        <f t="array" ref="B283">index(PIDtoTSN!E:E, match(A283, PIDtoTSN!A:A, 0))</f>
        <v>200042304</v>
      </c>
      <c r="C283" s="8" t="s">
        <v>665</v>
      </c>
      <c r="D283" s="8" t="s">
        <v>666</v>
      </c>
      <c r="E283" s="8" t="s">
        <v>34</v>
      </c>
      <c r="F283" s="19" t="str">
        <f t="array" ref="F283">index('Mentor Choices'!B:B, match(E283, 'Mentor Choices'!A:A, 0))</f>
        <v>Misha Belkin</v>
      </c>
      <c r="G283" s="19" t="str">
        <f>IF(COUNTIF(Sept16!C:C, B283) &gt; 0, "yes", "no")</f>
        <v>yes</v>
      </c>
    </row>
    <row r="284">
      <c r="A284" s="8" t="s">
        <v>1482</v>
      </c>
      <c r="B284" s="14">
        <f t="array" ref="B284">index(PIDtoTSN!E:E, match(A284, PIDtoTSN!A:A, 0))</f>
        <v>200042515</v>
      </c>
      <c r="C284" s="8" t="s">
        <v>1483</v>
      </c>
      <c r="D284" s="8" t="s">
        <v>1484</v>
      </c>
      <c r="E284" s="8" t="s">
        <v>364</v>
      </c>
      <c r="F284" s="19" t="str">
        <f t="array" ref="F284">index('Mentor Choices'!B:B, match(E284, 'Mentor Choices'!A:A, 0))</f>
        <v>Robert Wilderman</v>
      </c>
      <c r="G284" s="19" t="str">
        <f>IF(COUNTIF(Sept16!C:C, B284) &gt; 0, "yes", "no")</f>
        <v>yes</v>
      </c>
    </row>
    <row r="285">
      <c r="A285" s="8" t="s">
        <v>1258</v>
      </c>
      <c r="B285" s="14">
        <f t="array" ref="B285">index(PIDtoTSN!E:E, match(A285, PIDtoTSN!A:A, 0))</f>
        <v>200042786</v>
      </c>
      <c r="C285" s="8" t="s">
        <v>1259</v>
      </c>
      <c r="D285" s="8" t="s">
        <v>1257</v>
      </c>
      <c r="E285" s="8" t="s">
        <v>323</v>
      </c>
      <c r="F285" s="19" t="str">
        <f t="array" ref="F285">index('Mentor Choices'!B:B, match(E285, 'Mentor Choices'!A:A, 0))</f>
        <v>Peter Chi</v>
      </c>
      <c r="G285" s="19" t="str">
        <f>IF(COUNTIF(Sept16!C:C, B285) &gt; 0, "yes", "no")</f>
        <v>yes</v>
      </c>
    </row>
    <row r="286">
      <c r="A286" s="8" t="s">
        <v>210</v>
      </c>
      <c r="B286" s="14">
        <f t="array" ref="B286">index(PIDtoTSN!E:E, match(A286, PIDtoTSN!A:A, 0))</f>
        <v>200035600</v>
      </c>
      <c r="C286" s="8" t="s">
        <v>1034</v>
      </c>
      <c r="D286" s="8" t="s">
        <v>1033</v>
      </c>
      <c r="E286" s="8" t="s">
        <v>148</v>
      </c>
      <c r="F286" s="19" t="str">
        <f t="array" ref="F286">index('Mentor Choices'!B:B, match(E286, 'Mentor Choices'!A:A, 0))</f>
        <v>Rayan Saab</v>
      </c>
      <c r="G286" s="19" t="str">
        <f>IF(COUNTIF(Sept16!C:C, B286) &gt; 0, "yes", "no")</f>
        <v>yes</v>
      </c>
    </row>
    <row r="287">
      <c r="A287" s="8" t="s">
        <v>90</v>
      </c>
      <c r="B287" s="14">
        <f t="array" ref="B287">index(PIDtoTSN!E:E, match(A287, PIDtoTSN!A:A, 0))</f>
        <v>200035976</v>
      </c>
      <c r="C287" s="8" t="s">
        <v>572</v>
      </c>
      <c r="D287" s="8" t="s">
        <v>571</v>
      </c>
      <c r="E287" s="8" t="s">
        <v>55</v>
      </c>
      <c r="F287" s="19" t="str">
        <f t="array" ref="F287">index('Mentor Choices'!B:B, match(E287, 'Mentor Choices'!A:A, 0))</f>
        <v>Haojian Jin</v>
      </c>
      <c r="G287" s="19" t="str">
        <f>IF(COUNTIF(Sept16!C:C, B287) &gt; 0, "yes", "no")</f>
        <v>yes</v>
      </c>
    </row>
    <row r="288">
      <c r="A288" s="8" t="s">
        <v>1254</v>
      </c>
      <c r="B288" s="14">
        <f t="array" ref="B288">index(PIDtoTSN!E:E, match(A288, PIDtoTSN!A:A, 0))</f>
        <v>200036038</v>
      </c>
      <c r="C288" s="8" t="s">
        <v>1255</v>
      </c>
      <c r="D288" s="8" t="s">
        <v>1253</v>
      </c>
      <c r="E288" s="8" t="s">
        <v>55</v>
      </c>
      <c r="F288" s="19" t="str">
        <f t="array" ref="F288">index('Mentor Choices'!B:B, match(E288, 'Mentor Choices'!A:A, 0))</f>
        <v>Haojian Jin</v>
      </c>
      <c r="G288" s="19" t="str">
        <f>IF(COUNTIF(Sept16!C:C, B288) &gt; 0, "yes", "no")</f>
        <v>yes</v>
      </c>
    </row>
    <row r="289">
      <c r="A289" s="8" t="s">
        <v>274</v>
      </c>
      <c r="B289" s="14">
        <f t="array" ref="B289">index(PIDtoTSN!E:E, match(A289, PIDtoTSN!A:A, 0))</f>
        <v>200038002</v>
      </c>
      <c r="C289" s="8" t="s">
        <v>1225</v>
      </c>
      <c r="D289" s="8" t="s">
        <v>1224</v>
      </c>
      <c r="E289" s="8" t="s">
        <v>83</v>
      </c>
      <c r="F289" s="19" t="str">
        <f t="array" ref="F289">index('Mentor Choices'!B:B, match(E289, 'Mentor Choices'!A:A, 0))</f>
        <v>Armin Schwartzman</v>
      </c>
      <c r="G289" s="19" t="str">
        <f>IF(COUNTIF(Sept16!C:C, B289) &gt; 0, "yes", "no")</f>
        <v>yes</v>
      </c>
    </row>
    <row r="290">
      <c r="A290" s="8" t="s">
        <v>503</v>
      </c>
      <c r="B290" s="14">
        <f t="array" ref="B290">index(PIDtoTSN!E:E, match(A290, PIDtoTSN!A:A, 0))</f>
        <v>200038743</v>
      </c>
      <c r="C290" s="8" t="s">
        <v>504</v>
      </c>
      <c r="D290" s="8" t="s">
        <v>502</v>
      </c>
      <c r="E290" s="8" t="s">
        <v>70</v>
      </c>
      <c r="F290" s="19" t="str">
        <f t="array" ref="F290">index('Mentor Choices'!B:B, match(E290, 'Mentor Choices'!A:A, 0))</f>
        <v>Aobo Li</v>
      </c>
      <c r="G290" s="19" t="str">
        <f>IF(COUNTIF(Sept16!C:C, B290) &gt; 0, "yes", "no")</f>
        <v>yes</v>
      </c>
    </row>
    <row r="291">
      <c r="A291" s="8" t="s">
        <v>667</v>
      </c>
      <c r="B291" s="14">
        <f t="array" ref="B291">index(PIDtoTSN!E:E, match(A291, PIDtoTSN!A:A, 0))</f>
        <v>200038928</v>
      </c>
      <c r="C291" s="8" t="s">
        <v>668</v>
      </c>
      <c r="D291" s="8" t="s">
        <v>669</v>
      </c>
      <c r="E291" s="8" t="s">
        <v>34</v>
      </c>
      <c r="F291" s="19" t="str">
        <f t="array" ref="F291">index('Mentor Choices'!B:B, match(E291, 'Mentor Choices'!A:A, 0))</f>
        <v>Misha Belkin</v>
      </c>
      <c r="G291" s="19" t="str">
        <f>IF(COUNTIF(Sept16!C:C, B291) &gt; 0, "yes", "no")</f>
        <v>yes</v>
      </c>
    </row>
    <row r="292">
      <c r="A292" s="8" t="s">
        <v>854</v>
      </c>
      <c r="B292" s="14">
        <f t="array" ref="B292">index(PIDtoTSN!E:E, match(A292, PIDtoTSN!A:A, 0))</f>
        <v>200032014</v>
      </c>
      <c r="C292" s="8" t="s">
        <v>855</v>
      </c>
      <c r="D292" s="8" t="s">
        <v>853</v>
      </c>
      <c r="E292" s="8" t="s">
        <v>80</v>
      </c>
      <c r="F292" s="19" t="str">
        <f t="array" ref="F292">index('Mentor Choices'!B:B, match(E292, 'Mentor Choices'!A:A, 0))</f>
        <v>Biwei Huang</v>
      </c>
      <c r="G292" s="19" t="str">
        <f>IF(COUNTIF(Sept16!C:C, B292) &gt; 0, "yes", "no")</f>
        <v>yes</v>
      </c>
    </row>
    <row r="293">
      <c r="A293" s="8" t="s">
        <v>671</v>
      </c>
      <c r="B293" s="14">
        <f t="array" ref="B293">index(PIDtoTSN!E:E, match(A293, PIDtoTSN!A:A, 0))</f>
        <v>200034006</v>
      </c>
      <c r="C293" s="8" t="s">
        <v>672</v>
      </c>
      <c r="D293" s="8" t="s">
        <v>673</v>
      </c>
      <c r="E293" s="8" t="s">
        <v>36</v>
      </c>
      <c r="F293" s="19" t="str">
        <f t="array" ref="F293">index('Mentor Choices'!B:B, match(E293, 'Mentor Choices'!A:A, 0))</f>
        <v>Ali Arsanjani</v>
      </c>
      <c r="G293" s="19" t="str">
        <f>IF(COUNTIF(Sept16!C:C, B293) &gt; 0, "yes", "no")</f>
        <v>yes</v>
      </c>
    </row>
    <row r="294">
      <c r="A294" s="8" t="s">
        <v>120</v>
      </c>
      <c r="B294" s="14">
        <f t="array" ref="B294">index(PIDtoTSN!E:E, match(A294, PIDtoTSN!A:A, 0))</f>
        <v>200034223</v>
      </c>
      <c r="C294" s="8" t="s">
        <v>824</v>
      </c>
      <c r="D294" s="8" t="s">
        <v>823</v>
      </c>
      <c r="E294" s="8" t="s">
        <v>56</v>
      </c>
      <c r="F294" s="19" t="str">
        <f t="array" ref="F294">index('Mentor Choices'!B:B, match(E294, 'Mentor Choices'!A:A, 0))</f>
        <v>Gabriel Garzo</v>
      </c>
      <c r="G294" s="19" t="str">
        <f>IF(COUNTIF(Sept16!C:C, B294) &gt; 0, "yes", "no")</f>
        <v>yes</v>
      </c>
    </row>
    <row r="295">
      <c r="A295" s="8" t="s">
        <v>75</v>
      </c>
      <c r="B295" s="14">
        <f t="array" ref="B295">index(PIDtoTSN!E:E, match(A295, PIDtoTSN!A:A, 0))</f>
        <v>200034614</v>
      </c>
      <c r="C295" s="8" t="s">
        <v>511</v>
      </c>
      <c r="D295" s="8" t="s">
        <v>510</v>
      </c>
      <c r="E295" s="8" t="s">
        <v>73</v>
      </c>
      <c r="F295" s="19" t="str">
        <f t="array" ref="F295">index('Mentor Choices'!B:B, match(E295, 'Mentor Choices'!A:A, 0))</f>
        <v>Ben Smarr</v>
      </c>
      <c r="G295" s="19" t="str">
        <f>IF(COUNTIF(Sept16!C:C, B295) &gt; 0, "yes", "no")</f>
        <v>yes</v>
      </c>
    </row>
    <row r="296">
      <c r="A296" s="8" t="s">
        <v>357</v>
      </c>
      <c r="B296" s="14">
        <f t="array" ref="B296">index(PIDtoTSN!E:E, match(A296, PIDtoTSN!A:A, 0))</f>
        <v>200028239</v>
      </c>
      <c r="C296" s="8" t="s">
        <v>1460</v>
      </c>
      <c r="D296" s="8" t="s">
        <v>1461</v>
      </c>
      <c r="E296" s="8" t="s">
        <v>291</v>
      </c>
      <c r="F296" s="19" t="str">
        <f t="array" ref="F296">index('Mentor Choices'!B:B, match(E296, 'Mentor Choices'!A:A, 0))</f>
        <v>Babak Salimi</v>
      </c>
      <c r="G296" s="19" t="str">
        <f>IF(COUNTIF(Sept16!C:C, B296) &gt; 0, "yes", "no")</f>
        <v>yes</v>
      </c>
    </row>
    <row r="297">
      <c r="A297" s="8" t="s">
        <v>149</v>
      </c>
      <c r="B297" s="14">
        <f t="array" ref="B297">index(PIDtoTSN!E:E, match(A297, PIDtoTSN!A:A, 0))</f>
        <v>200030009</v>
      </c>
      <c r="C297" s="8" t="s">
        <v>1463</v>
      </c>
      <c r="D297" s="8" t="s">
        <v>756</v>
      </c>
      <c r="E297" s="8" t="s">
        <v>58</v>
      </c>
      <c r="F297" s="19" t="str">
        <f t="array" ref="F297">index('Mentor Choices'!B:B, match(E297, 'Mentor Choices'!A:A, 0))</f>
        <v>Igor Sfiligoi</v>
      </c>
      <c r="G297" s="19" t="str">
        <f>IF(COUNTIF(Sept16!C:C, B297) &gt; 0, "yes", "no")</f>
        <v>yes</v>
      </c>
    </row>
    <row r="298">
      <c r="A298" s="8" t="s">
        <v>123</v>
      </c>
      <c r="B298" s="14">
        <f t="array" ref="B298">index(PIDtoTSN!E:E, match(A298, PIDtoTSN!A:A, 0))</f>
        <v>200030407</v>
      </c>
      <c r="C298" s="8" t="s">
        <v>451</v>
      </c>
      <c r="D298" s="8" t="s">
        <v>449</v>
      </c>
      <c r="E298" s="8" t="s">
        <v>273</v>
      </c>
      <c r="F298" s="19" t="str">
        <f t="array" ref="F298">index('Mentor Choices'!B:B, match(E298, 'Mentor Choices'!A:A, 0))</f>
        <v>Stuart Geiger</v>
      </c>
      <c r="G298" s="19" t="str">
        <f>IF(COUNTIF(Sept16!C:C, B298) &gt; 0, "yes", "no")</f>
        <v>yes</v>
      </c>
    </row>
    <row r="299">
      <c r="A299" s="8" t="s">
        <v>314</v>
      </c>
      <c r="B299" s="14">
        <f t="array" ref="B299">index(PIDtoTSN!E:E, match(A299, PIDtoTSN!A:A, 0))</f>
        <v>200030722</v>
      </c>
      <c r="C299" s="8" t="s">
        <v>1464</v>
      </c>
      <c r="D299" s="8" t="s">
        <v>1465</v>
      </c>
      <c r="E299" s="8" t="s">
        <v>54</v>
      </c>
      <c r="F299" s="19" t="str">
        <f t="array" ref="F299">index('Mentor Choices'!B:B, match(E299, 'Mentor Choices'!A:A, 0))</f>
        <v>Ryan Lingo</v>
      </c>
      <c r="G299" s="19" t="str">
        <f>IF(COUNTIF(Sept16!C:C, B299) &gt; 0, "yes", "no")</f>
        <v>yes</v>
      </c>
    </row>
    <row r="300">
      <c r="A300" s="8" t="s">
        <v>119</v>
      </c>
      <c r="B300" s="14">
        <f t="array" ref="B300">index(PIDtoTSN!E:E, match(A300, PIDtoTSN!A:A, 0))</f>
        <v>200031205</v>
      </c>
      <c r="C300" s="8" t="s">
        <v>698</v>
      </c>
      <c r="D300" s="8" t="s">
        <v>697</v>
      </c>
      <c r="E300" s="8" t="s">
        <v>56</v>
      </c>
      <c r="F300" s="19" t="str">
        <f t="array" ref="F300">index('Mentor Choices'!B:B, match(E300, 'Mentor Choices'!A:A, 0))</f>
        <v>Gabriel Garzo</v>
      </c>
      <c r="G300" s="19" t="str">
        <f>IF(COUNTIF(Sept16!C:C, B300) &gt; 0, "yes", "no")</f>
        <v>yes</v>
      </c>
    </row>
    <row r="301">
      <c r="A301" s="8" t="s">
        <v>1384</v>
      </c>
      <c r="B301" s="14">
        <f t="array" ref="B301">index(PIDtoTSN!E:E, match(A301, PIDtoTSN!A:A, 0))</f>
        <v>200024521</v>
      </c>
      <c r="C301" s="8" t="s">
        <v>1385</v>
      </c>
      <c r="D301" s="8" t="s">
        <v>1383</v>
      </c>
      <c r="E301" s="8" t="s">
        <v>145</v>
      </c>
      <c r="F301" s="19" t="str">
        <f t="array" ref="F301">index('Mentor Choices'!B:B, match(E301, 'Mentor Choices'!A:A, 0))</f>
        <v>Ilyes Meftah</v>
      </c>
      <c r="G301" s="19" t="str">
        <f>IF(COUNTIF(Sept16!C:C, B301) &gt; 0, "yes", "no")</f>
        <v>yes</v>
      </c>
    </row>
    <row r="302">
      <c r="A302" s="8" t="s">
        <v>152</v>
      </c>
      <c r="B302" s="14">
        <f t="array" ref="B302">index(PIDtoTSN!E:E, match(A302, PIDtoTSN!A:A, 0))</f>
        <v>200024714</v>
      </c>
      <c r="C302" s="8" t="s">
        <v>1458</v>
      </c>
      <c r="D302" s="8" t="s">
        <v>1459</v>
      </c>
      <c r="E302" s="8" t="s">
        <v>126</v>
      </c>
      <c r="F302" s="19" t="str">
        <f t="array" ref="F302">index('Mentor Choices'!B:B, match(E302, 'Mentor Choices'!A:A, 0))</f>
        <v>Igor Sfiligoi</v>
      </c>
      <c r="G302" s="19" t="str">
        <f>IF(COUNTIF(Sept16!C:C, B302) &gt; 0, "yes", "no")</f>
        <v>yes</v>
      </c>
    </row>
    <row r="303">
      <c r="A303" s="8" t="s">
        <v>1418</v>
      </c>
      <c r="B303" s="14">
        <f t="array" ref="B303">index(PIDtoTSN!E:E, match(A303, PIDtoTSN!A:A, 0))</f>
        <v>200020274</v>
      </c>
      <c r="C303" s="8" t="s">
        <v>1419</v>
      </c>
      <c r="D303" s="8" t="s">
        <v>1417</v>
      </c>
      <c r="E303" s="8" t="s">
        <v>80</v>
      </c>
      <c r="F303" s="19" t="str">
        <f t="array" ref="F303">index('Mentor Choices'!B:B, match(E303, 'Mentor Choices'!A:A, 0))</f>
        <v>Biwei Huang</v>
      </c>
      <c r="G303" s="19" t="str">
        <f>IF(COUNTIF(Sept16!C:C, B303) &gt; 0, "yes", "no")</f>
        <v>yes</v>
      </c>
    </row>
    <row r="304">
      <c r="A304" s="8" t="s">
        <v>135</v>
      </c>
      <c r="B304" s="14">
        <f t="array" ref="B304">index(PIDtoTSN!E:E, match(A304, PIDtoTSN!A:A, 0))</f>
        <v>200020279</v>
      </c>
      <c r="C304" s="8" t="s">
        <v>1456</v>
      </c>
      <c r="D304" s="8" t="s">
        <v>1457</v>
      </c>
      <c r="E304" s="8" t="s">
        <v>341</v>
      </c>
      <c r="F304" s="19" t="str">
        <f t="array" ref="F304">index('Mentor Choices'!B:B, match(E304, 'Mentor Choices'!A:A, 0))</f>
        <v>Arya Mazumdar</v>
      </c>
      <c r="G304" s="19" t="str">
        <f>IF(COUNTIF(Sept16!C:C, B304) &gt; 0, "yes", "no")</f>
        <v>yes</v>
      </c>
    </row>
    <row r="305">
      <c r="A305" s="8" t="s">
        <v>1414</v>
      </c>
      <c r="B305" s="14">
        <f t="array" ref="B305">index(PIDtoTSN!E:E, match(A305, PIDtoTSN!A:A, 0))</f>
        <v>200022960</v>
      </c>
      <c r="C305" s="8" t="s">
        <v>1415</v>
      </c>
      <c r="D305" s="8" t="s">
        <v>1413</v>
      </c>
      <c r="E305" s="8" t="s">
        <v>273</v>
      </c>
      <c r="F305" s="19" t="str">
        <f t="array" ref="F305">index('Mentor Choices'!B:B, match(E305, 'Mentor Choices'!A:A, 0))</f>
        <v>Stuart Geiger</v>
      </c>
      <c r="G305" s="19" t="str">
        <f>IF(COUNTIF(Sept16!C:C, B305) &gt; 0, "yes", "no")</f>
        <v>yes</v>
      </c>
    </row>
    <row r="306">
      <c r="A306" s="8" t="s">
        <v>1448</v>
      </c>
      <c r="B306" s="14">
        <f t="array" ref="B306">index(PIDtoTSN!E:E, match(A306, PIDtoTSN!A:A, 0))</f>
        <v>200016088</v>
      </c>
      <c r="C306" s="8" t="s">
        <v>1449</v>
      </c>
      <c r="D306" s="8" t="s">
        <v>1450</v>
      </c>
      <c r="E306" s="8" t="s">
        <v>235</v>
      </c>
      <c r="F306" s="19" t="str">
        <f t="array" ref="F306">index('Mentor Choices'!B:B, match(E306, 'Mentor Choices'!A:A, 0))</f>
        <v>Lily Weng</v>
      </c>
      <c r="G306" s="19" t="str">
        <f>IF(COUNTIF(Sept16!C:C, B306) &gt; 0, "yes", "no")</f>
        <v>yes</v>
      </c>
    </row>
    <row r="307">
      <c r="A307" s="8" t="s">
        <v>1271</v>
      </c>
      <c r="B307" s="14">
        <f t="array" ref="B307">index(PIDtoTSN!E:E, match(A307, PIDtoTSN!A:A, 0))</f>
        <v>200334458</v>
      </c>
      <c r="C307" s="8" t="s">
        <v>1272</v>
      </c>
      <c r="D307" s="8" t="s">
        <v>1270</v>
      </c>
      <c r="E307" s="8" t="s">
        <v>110</v>
      </c>
      <c r="F307" s="19" t="str">
        <f t="array" ref="F307">index('Mentor Choices'!B:B, match(E307, 'Mentor Choices'!A:A, 0))</f>
        <v>Emily Aiken</v>
      </c>
      <c r="G307" s="19" t="str">
        <f>IF(COUNTIF(Sept16!C:C, B307) &gt; 0, "yes", "no")</f>
        <v>yes</v>
      </c>
    </row>
    <row r="308">
      <c r="A308" s="8" t="s">
        <v>1296</v>
      </c>
      <c r="B308" s="14">
        <f t="array" ref="B308">index(PIDtoTSN!E:E, match(A308, PIDtoTSN!A:A, 0))</f>
        <v>200334697</v>
      </c>
      <c r="C308" s="8" t="s">
        <v>1297</v>
      </c>
      <c r="D308" s="8" t="s">
        <v>1295</v>
      </c>
      <c r="E308" s="8" t="s">
        <v>235</v>
      </c>
      <c r="F308" s="19" t="str">
        <f t="array" ref="F308">index('Mentor Choices'!B:B, match(E308, 'Mentor Choices'!A:A, 0))</f>
        <v>Lily Weng</v>
      </c>
      <c r="G308" s="19" t="str">
        <f>IF(COUNTIF(Sept16!C:C, B308) &gt; 0, "yes", "no")</f>
        <v>yes</v>
      </c>
    </row>
    <row r="309">
      <c r="A309" s="8" t="s">
        <v>404</v>
      </c>
      <c r="B309" s="14">
        <f t="array" ref="B309">index(PIDtoTSN!E:E, match(A309, PIDtoTSN!A:A, 0))</f>
        <v>200336127</v>
      </c>
      <c r="C309" s="8" t="s">
        <v>1554</v>
      </c>
      <c r="D309" s="8" t="s">
        <v>1555</v>
      </c>
      <c r="E309" s="8" t="s">
        <v>60</v>
      </c>
      <c r="F309" s="19" t="str">
        <f t="array" ref="F309">index('Mentor Choices'!B:B, match(E309, 'Mentor Choices'!A:A, 0))</f>
        <v>Bijian Arbab</v>
      </c>
      <c r="G309" s="19" t="str">
        <f>IF(COUNTIF(Sept16!C:C, B309) &gt; 0, "yes", "no")</f>
        <v>yes</v>
      </c>
    </row>
    <row r="310">
      <c r="A310" s="8" t="s">
        <v>1550</v>
      </c>
      <c r="B310" s="14">
        <f t="array" ref="B310">index(PIDtoTSN!E:E, match(A310, PIDtoTSN!A:A, 0))</f>
        <v>200329816</v>
      </c>
      <c r="C310" s="8" t="s">
        <v>1551</v>
      </c>
      <c r="D310" s="8" t="s">
        <v>1552</v>
      </c>
      <c r="E310" s="8" t="s">
        <v>66</v>
      </c>
      <c r="F310" s="19" t="str">
        <f t="array" ref="F310">index('Mentor Choices'!B:B, match(E310, 'Mentor Choices'!A:A, 0))</f>
        <v>Tiffany Amariuta</v>
      </c>
      <c r="G310" s="19" t="str">
        <f>IF(COUNTIF(Sept16!C:C, B310) &gt; 0, "yes", "no")</f>
        <v>yes</v>
      </c>
    </row>
    <row r="311">
      <c r="A311" s="8" t="s">
        <v>317</v>
      </c>
      <c r="B311" s="14">
        <f t="array" ref="B311">index(PIDtoTSN!E:E, match(A311, PIDtoTSN!A:A, 0))</f>
        <v>200327616</v>
      </c>
      <c r="C311" s="8" t="s">
        <v>1452</v>
      </c>
      <c r="D311" s="8" t="s">
        <v>1451</v>
      </c>
      <c r="E311" s="8" t="s">
        <v>54</v>
      </c>
      <c r="F311" s="19" t="str">
        <f t="array" ref="F311">index('Mentor Choices'!B:B, match(E311, 'Mentor Choices'!A:A, 0))</f>
        <v>Ryan Lingo</v>
      </c>
      <c r="G311" s="19" t="str">
        <f>IF(COUNTIF(Sept16!C:C, B311) &gt; 0, "yes", "no")</f>
        <v>yes</v>
      </c>
    </row>
    <row r="312">
      <c r="A312" s="8" t="s">
        <v>243</v>
      </c>
      <c r="B312" s="14">
        <f t="array" ref="B312">index(PIDtoTSN!E:E, match(A312, PIDtoTSN!A:A, 0))</f>
        <v>200328539</v>
      </c>
      <c r="C312" s="8" t="s">
        <v>1214</v>
      </c>
      <c r="D312" s="8" t="s">
        <v>1213</v>
      </c>
      <c r="E312" s="8" t="s">
        <v>323</v>
      </c>
      <c r="F312" s="19" t="str">
        <f t="array" ref="F312">index('Mentor Choices'!B:B, match(E312, 'Mentor Choices'!A:A, 0))</f>
        <v>Peter Chi</v>
      </c>
      <c r="G312" s="19" t="str">
        <f>IF(COUNTIF(Sept16!C:C, B312) &gt; 0, "yes", "no")</f>
        <v>yes</v>
      </c>
    </row>
    <row r="313">
      <c r="A313" s="8" t="s">
        <v>65</v>
      </c>
      <c r="B313" s="14">
        <f t="array" ref="B313">index(PIDtoTSN!E:E, match(A313, PIDtoTSN!A:A, 0))</f>
        <v>200325185</v>
      </c>
      <c r="C313" s="8" t="s">
        <v>67</v>
      </c>
      <c r="D313" s="8" t="s">
        <v>62</v>
      </c>
      <c r="E313" s="8" t="s">
        <v>36</v>
      </c>
      <c r="F313" s="19" t="str">
        <f t="array" ref="F313">index('Mentor Choices'!B:B, match(E313, 'Mentor Choices'!A:A, 0))</f>
        <v>Ali Arsanjani</v>
      </c>
      <c r="G313" s="19" t="str">
        <f>IF(COUNTIF(Sept16!C:C, B313) &gt; 0, "yes", "no")</f>
        <v>yes</v>
      </c>
    </row>
    <row r="314">
      <c r="A314" s="114">
        <v>2.0016831E8</v>
      </c>
      <c r="B314" s="14">
        <f t="array" ref="B314">index(PIDtoTSN!E:E, match(A314, PIDtoTSN!A:A, 0))</f>
        <v>200168310</v>
      </c>
      <c r="C314" s="38" t="s">
        <v>1542</v>
      </c>
      <c r="D314" s="38" t="s">
        <v>1543</v>
      </c>
      <c r="E314" s="38" t="s">
        <v>346</v>
      </c>
      <c r="F314" s="19" t="str">
        <f t="array" ref="F314">index('Mentor Choices'!B:B, match(E314, 'Mentor Choices'!A:A, 0))</f>
        <v>Jun-kun Wang</v>
      </c>
      <c r="G314" s="19" t="str">
        <f>IF(COUNTIF(Sept16!C:C, B314) &gt; 0, "yes", "no")</f>
        <v>yes</v>
      </c>
    </row>
    <row r="315">
      <c r="A315" s="115">
        <v>2.0016071E8</v>
      </c>
      <c r="B315" s="14">
        <f t="array" ref="B315">index(PIDtoTSN!E:E, match(A315, PIDtoTSN!A:A, 0))</f>
        <v>200160710</v>
      </c>
      <c r="C315" s="38" t="s">
        <v>1536</v>
      </c>
      <c r="D315" s="116" t="s">
        <v>1537</v>
      </c>
      <c r="E315" s="38" t="s">
        <v>346</v>
      </c>
      <c r="F315" s="19" t="str">
        <f t="array" ref="F315">index('Mentor Choices'!B:B, match(E315, 'Mentor Choices'!A:A, 0))</f>
        <v>Jun-kun Wang</v>
      </c>
      <c r="G315" s="19" t="str">
        <f>IF(COUNTIF(Sept16!C:C, B315) &gt; 0, "yes", "no")</f>
        <v>yes</v>
      </c>
    </row>
    <row r="316">
      <c r="A316" s="117">
        <v>2.00164955E8</v>
      </c>
      <c r="B316" s="14">
        <f t="array" ref="B316">index(PIDtoTSN!E:E, match(A316, PIDtoTSN!A:A, 0))</f>
        <v>200164955</v>
      </c>
      <c r="C316" s="38" t="s">
        <v>1539</v>
      </c>
      <c r="D316" s="38" t="s">
        <v>1540</v>
      </c>
      <c r="E316" s="38" t="s">
        <v>346</v>
      </c>
      <c r="F316" s="19" t="str">
        <f t="array" ref="F316">index('Mentor Choices'!B:B, match(E316, 'Mentor Choices'!A:A, 0))</f>
        <v>Jun-kun Wang</v>
      </c>
      <c r="G316" s="19" t="str">
        <f>IF(COUNTIF(Sept16!C:C, B316) &gt; 0, "yes", "no")</f>
        <v>yes</v>
      </c>
    </row>
    <row r="317">
      <c r="A317" s="118"/>
      <c r="B317" s="119">
        <v>2.00153039E8</v>
      </c>
      <c r="C317" s="120" t="s">
        <v>1558</v>
      </c>
      <c r="D317" s="121" t="s">
        <v>1559</v>
      </c>
      <c r="E317" s="108" t="s">
        <v>36</v>
      </c>
      <c r="F317" s="19" t="str">
        <f t="array" ref="F317">index('Mentor Choices'!B:B, match(E317, 'Mentor Choices'!A:A, 0))</f>
        <v>Ali Arsanjani</v>
      </c>
      <c r="G317" s="19" t="str">
        <f>IF(COUNTIF(Sept16!C:C, B317) &gt; 0, "yes", "no")</f>
        <v>yes</v>
      </c>
    </row>
    <row r="318">
      <c r="A318" s="118"/>
      <c r="B318" s="119">
        <v>2.00226782E8</v>
      </c>
      <c r="C318" s="121" t="s">
        <v>1560</v>
      </c>
      <c r="D318" s="121" t="s">
        <v>1561</v>
      </c>
      <c r="E318" s="108" t="s">
        <v>109</v>
      </c>
      <c r="F318" s="19" t="str">
        <f t="array" ref="F318">index('Mentor Choices'!B:B, match(E318, 'Mentor Choices'!A:A, 0))</f>
        <v>Mikio Aoi</v>
      </c>
      <c r="G318" s="19" t="str">
        <f>IF(COUNTIF(Sept16!C:C, B318) &gt; 0, "yes", "no")</f>
        <v>yes</v>
      </c>
    </row>
    <row r="319">
      <c r="A319" s="118"/>
      <c r="B319" s="122">
        <v>2.00175838E8</v>
      </c>
      <c r="C319" s="123" t="s">
        <v>1960</v>
      </c>
      <c r="D319" s="123" t="s">
        <v>1947</v>
      </c>
      <c r="E319" s="11" t="s">
        <v>191</v>
      </c>
      <c r="F319" s="19" t="str">
        <f t="array" ref="F319">index('Mentor Choices'!B:B, match(E319, 'Mentor Choices'!A:A, 0))</f>
        <v>Tauhidur Rahaman</v>
      </c>
      <c r="G319" s="19" t="str">
        <f>IF(COUNTIF(Sept16!C:C, B319) &gt; 0, "yes", "no")</f>
        <v>yes</v>
      </c>
    </row>
    <row r="320">
      <c r="A320" s="118"/>
      <c r="B320" s="124">
        <v>2.00156689E8</v>
      </c>
      <c r="C320" s="123" t="s">
        <v>1965</v>
      </c>
      <c r="D320" s="123" t="s">
        <v>1966</v>
      </c>
      <c r="E320" s="11" t="s">
        <v>291</v>
      </c>
      <c r="F320" s="19" t="str">
        <f t="array" ref="F320">index('Mentor Choices'!B:B, match(E320, 'Mentor Choices'!A:A, 0))</f>
        <v>Babak Salimi</v>
      </c>
      <c r="G320" s="19" t="str">
        <f>IF(COUNTIF(Sept16!C:C, B320) &gt; 0, "yes", "no")</f>
        <v>yes</v>
      </c>
    </row>
    <row r="321">
      <c r="A321" s="111" t="s">
        <v>1597</v>
      </c>
      <c r="B321" s="111" t="s">
        <v>1596</v>
      </c>
      <c r="C321" s="111" t="s">
        <v>1598</v>
      </c>
      <c r="D321" s="111" t="s">
        <v>1599</v>
      </c>
      <c r="E321" s="11" t="s">
        <v>368</v>
      </c>
      <c r="F321" s="19" t="str">
        <f t="array" ref="F321">index('Mentor Choices'!B:B, match(E321, 'Mentor Choices'!A:A, 0))</f>
        <v>Soohyun Liao</v>
      </c>
      <c r="G321" s="19" t="str">
        <f>IF(COUNTIF(Sept16!C:C, B321) &gt; 0, "yes", "no")</f>
        <v>yes</v>
      </c>
    </row>
    <row r="322">
      <c r="A322" s="111" t="s">
        <v>1602</v>
      </c>
      <c r="B322" s="111" t="s">
        <v>1601</v>
      </c>
      <c r="C322" s="111" t="s">
        <v>1603</v>
      </c>
      <c r="D322" s="111" t="s">
        <v>1604</v>
      </c>
      <c r="E322" s="11" t="s">
        <v>368</v>
      </c>
      <c r="F322" s="19" t="str">
        <f t="array" ref="F322">index('Mentor Choices'!B:B, match(E322, 'Mentor Choices'!A:A, 0))</f>
        <v>Soohyun Liao</v>
      </c>
      <c r="G322" s="19" t="str">
        <f>IF(COUNTIF(Sept16!C:C, B322) &gt; 0, "yes", "no")</f>
        <v>yes</v>
      </c>
    </row>
    <row r="323">
      <c r="A323" s="125" t="s">
        <v>1606</v>
      </c>
      <c r="B323" s="125" t="s">
        <v>1605</v>
      </c>
      <c r="C323" s="125" t="s">
        <v>1607</v>
      </c>
      <c r="D323" s="125" t="s">
        <v>1608</v>
      </c>
      <c r="E323" s="11" t="s">
        <v>368</v>
      </c>
      <c r="F323" s="19" t="str">
        <f t="array" ref="F323">index('Mentor Choices'!B:B, match(E323, 'Mentor Choices'!A:A, 0))</f>
        <v>Soohyun Liao</v>
      </c>
      <c r="G323" s="19" t="str">
        <f>IF(COUNTIF(Sept16!C:C, B323) &gt; 0, "yes", "no")</f>
        <v>yes</v>
      </c>
    </row>
    <row r="324">
      <c r="A324" s="125" t="s">
        <v>1610</v>
      </c>
      <c r="B324" s="125" t="s">
        <v>1609</v>
      </c>
      <c r="C324" s="125" t="s">
        <v>1611</v>
      </c>
      <c r="D324" s="125" t="s">
        <v>1612</v>
      </c>
      <c r="E324" s="11" t="s">
        <v>368</v>
      </c>
      <c r="F324" s="19" t="str">
        <f t="array" ref="F324">index('Mentor Choices'!B:B, match(E324, 'Mentor Choices'!A:A, 0))</f>
        <v>Soohyun Liao</v>
      </c>
      <c r="G324" s="19" t="str">
        <f>IF(COUNTIF(Sept16!C:C, B324) &gt; 0, "yes", "no")</f>
        <v>yes</v>
      </c>
    </row>
    <row r="325">
      <c r="A325" s="125" t="s">
        <v>1615</v>
      </c>
      <c r="B325" s="125" t="s">
        <v>1614</v>
      </c>
      <c r="C325" s="125" t="s">
        <v>1616</v>
      </c>
      <c r="D325" s="125" t="s">
        <v>1617</v>
      </c>
      <c r="E325" s="11" t="s">
        <v>368</v>
      </c>
      <c r="F325" s="19" t="str">
        <f t="array" ref="F325">index('Mentor Choices'!B:B, match(E325, 'Mentor Choices'!A:A, 0))</f>
        <v>Soohyun Liao</v>
      </c>
      <c r="G325" s="19" t="str">
        <f>IF(COUNTIF(Sept16!C:C, B325) &gt; 0, "yes", "no")</f>
        <v>yes</v>
      </c>
    </row>
    <row r="326">
      <c r="A326" s="125" t="s">
        <v>1619</v>
      </c>
      <c r="B326" s="125" t="s">
        <v>1618</v>
      </c>
      <c r="C326" s="125" t="s">
        <v>1620</v>
      </c>
      <c r="D326" s="125" t="s">
        <v>1621</v>
      </c>
      <c r="E326" s="11" t="s">
        <v>368</v>
      </c>
      <c r="F326" s="19" t="str">
        <f t="array" ref="F326">index('Mentor Choices'!B:B, match(E326, 'Mentor Choices'!A:A, 0))</f>
        <v>Soohyun Liao</v>
      </c>
      <c r="G326" s="19" t="str">
        <f>IF(COUNTIF(Sept16!C:C, B326) &gt; 0, "yes", "no")</f>
        <v>yes</v>
      </c>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row r="970">
      <c r="B970" s="14"/>
    </row>
    <row r="971">
      <c r="B971" s="14"/>
    </row>
    <row r="972">
      <c r="B972" s="14"/>
    </row>
    <row r="973">
      <c r="B973" s="14"/>
    </row>
    <row r="974">
      <c r="B974" s="14"/>
    </row>
    <row r="975">
      <c r="B975" s="14"/>
    </row>
    <row r="976">
      <c r="B976" s="14"/>
    </row>
    <row r="977">
      <c r="B977" s="14"/>
    </row>
    <row r="978">
      <c r="B978" s="14"/>
    </row>
    <row r="979">
      <c r="B979" s="14"/>
    </row>
    <row r="980">
      <c r="B980" s="14"/>
    </row>
    <row r="981">
      <c r="B981" s="14"/>
    </row>
    <row r="982">
      <c r="B982" s="14"/>
    </row>
    <row r="983">
      <c r="B983" s="14"/>
    </row>
    <row r="984">
      <c r="B984" s="14"/>
    </row>
    <row r="985">
      <c r="B985" s="14"/>
    </row>
    <row r="986">
      <c r="B986" s="14"/>
    </row>
    <row r="987">
      <c r="B987" s="14"/>
    </row>
    <row r="988">
      <c r="B988" s="14"/>
    </row>
    <row r="989">
      <c r="B989" s="14"/>
    </row>
    <row r="990">
      <c r="B990" s="14"/>
    </row>
    <row r="991">
      <c r="B991" s="14"/>
    </row>
    <row r="992">
      <c r="B992" s="14"/>
    </row>
    <row r="993">
      <c r="B993" s="14"/>
    </row>
    <row r="994">
      <c r="B994" s="14"/>
    </row>
    <row r="995">
      <c r="B995"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597</v>
      </c>
      <c r="B1" s="1" t="s">
        <v>598</v>
      </c>
      <c r="E1" s="1" t="s">
        <v>600</v>
      </c>
      <c r="F1" s="1" t="s">
        <v>35</v>
      </c>
      <c r="I1" s="1" t="s">
        <v>0</v>
      </c>
      <c r="J1" s="1" t="s">
        <v>4</v>
      </c>
      <c r="K1" s="1" t="s">
        <v>5</v>
      </c>
      <c r="L1" s="1" t="s">
        <v>6</v>
      </c>
    </row>
    <row r="2">
      <c r="A2" s="8" t="s">
        <v>35</v>
      </c>
      <c r="B2" s="55">
        <v>310.0</v>
      </c>
      <c r="E2" s="8">
        <v>1.0</v>
      </c>
      <c r="F2" s="55">
        <v>156.0</v>
      </c>
      <c r="I2" s="8" t="s">
        <v>11</v>
      </c>
      <c r="J2" s="8" t="s">
        <v>32</v>
      </c>
      <c r="K2" s="8" t="s">
        <v>33</v>
      </c>
      <c r="L2" s="8" t="s">
        <v>34</v>
      </c>
    </row>
    <row r="3">
      <c r="A3" s="8" t="s">
        <v>604</v>
      </c>
      <c r="B3" s="55">
        <v>44.0</v>
      </c>
      <c r="E3" s="8">
        <v>2.0</v>
      </c>
      <c r="F3" s="55">
        <v>39.0</v>
      </c>
      <c r="I3" s="8" t="s">
        <v>506</v>
      </c>
      <c r="J3" s="8" t="s">
        <v>507</v>
      </c>
      <c r="K3" s="8" t="s">
        <v>508</v>
      </c>
      <c r="L3" s="8" t="s">
        <v>126</v>
      </c>
    </row>
    <row r="4">
      <c r="A4" s="8" t="s">
        <v>606</v>
      </c>
      <c r="B4" s="55">
        <v>317.0</v>
      </c>
      <c r="E4" s="8">
        <v>3.0</v>
      </c>
      <c r="F4" s="55">
        <v>26.0</v>
      </c>
      <c r="I4" s="8" t="s">
        <v>521</v>
      </c>
      <c r="J4" s="8" t="s">
        <v>522</v>
      </c>
      <c r="K4" s="8" t="s">
        <v>523</v>
      </c>
      <c r="L4" s="8" t="s">
        <v>34</v>
      </c>
    </row>
    <row r="5">
      <c r="A5" s="8" t="s">
        <v>609</v>
      </c>
      <c r="B5" s="55">
        <v>310.0</v>
      </c>
      <c r="E5" s="8">
        <v>4.0</v>
      </c>
      <c r="F5" s="55">
        <v>21.0</v>
      </c>
      <c r="I5" s="8" t="s">
        <v>588</v>
      </c>
      <c r="J5" s="8" t="s">
        <v>589</v>
      </c>
      <c r="K5" s="8" t="s">
        <v>590</v>
      </c>
      <c r="L5" s="8" t="s">
        <v>289</v>
      </c>
    </row>
    <row r="6">
      <c r="A6" s="8" t="s">
        <v>614</v>
      </c>
      <c r="B6" s="55">
        <v>0.0</v>
      </c>
      <c r="E6" s="8">
        <v>5.0</v>
      </c>
      <c r="F6" s="55">
        <v>9.0</v>
      </c>
      <c r="I6" s="8" t="s">
        <v>615</v>
      </c>
      <c r="J6" s="8" t="s">
        <v>616</v>
      </c>
      <c r="K6" s="8" t="s">
        <v>617</v>
      </c>
      <c r="L6" s="8" t="s">
        <v>34</v>
      </c>
    </row>
    <row r="7">
      <c r="A7" s="8" t="s">
        <v>619</v>
      </c>
      <c r="B7" s="55">
        <v>20.0</v>
      </c>
      <c r="E7" s="8">
        <v>6.0</v>
      </c>
      <c r="F7" s="55">
        <v>13.0</v>
      </c>
      <c r="I7" s="8" t="s">
        <v>620</v>
      </c>
      <c r="J7" s="8" t="s">
        <v>621</v>
      </c>
      <c r="K7" s="8" t="s">
        <v>622</v>
      </c>
      <c r="L7" s="8" t="s">
        <v>34</v>
      </c>
    </row>
    <row r="8">
      <c r="A8" s="8" t="s">
        <v>623</v>
      </c>
      <c r="B8" s="55">
        <v>0.0</v>
      </c>
      <c r="E8" s="8">
        <v>7.0</v>
      </c>
      <c r="F8" s="55">
        <v>6.0</v>
      </c>
      <c r="I8" s="8" t="s">
        <v>441</v>
      </c>
      <c r="J8" s="8" t="s">
        <v>442</v>
      </c>
      <c r="K8" s="8" t="s">
        <v>440</v>
      </c>
      <c r="L8" s="8" t="s">
        <v>289</v>
      </c>
    </row>
    <row r="9">
      <c r="A9" s="8" t="s">
        <v>625</v>
      </c>
      <c r="B9" s="55">
        <v>0.0</v>
      </c>
      <c r="E9" s="8">
        <v>8.0</v>
      </c>
      <c r="F9" s="55">
        <v>9.0</v>
      </c>
      <c r="I9" s="8" t="s">
        <v>627</v>
      </c>
      <c r="J9" s="8" t="s">
        <v>628</v>
      </c>
      <c r="K9" s="8" t="s">
        <v>629</v>
      </c>
      <c r="L9" s="8" t="s">
        <v>289</v>
      </c>
    </row>
    <row r="10">
      <c r="A10" s="8" t="s">
        <v>630</v>
      </c>
      <c r="B10" s="55">
        <v>156.0</v>
      </c>
      <c r="E10" s="8">
        <v>9.0</v>
      </c>
      <c r="F10" s="55">
        <v>4.0</v>
      </c>
      <c r="I10" s="8" t="s">
        <v>631</v>
      </c>
      <c r="J10" s="8" t="s">
        <v>632</v>
      </c>
      <c r="K10" s="8" t="s">
        <v>633</v>
      </c>
      <c r="L10" s="8" t="s">
        <v>126</v>
      </c>
    </row>
    <row r="11">
      <c r="A11" s="8" t="s">
        <v>634</v>
      </c>
      <c r="B11" s="55">
        <v>221.0</v>
      </c>
      <c r="E11" s="8">
        <v>10.0</v>
      </c>
      <c r="F11" s="55">
        <v>7.0</v>
      </c>
      <c r="I11" s="8" t="s">
        <v>635</v>
      </c>
      <c r="J11" s="8" t="s">
        <v>636</v>
      </c>
      <c r="K11" s="8" t="s">
        <v>637</v>
      </c>
      <c r="L11" s="8" t="s">
        <v>34</v>
      </c>
    </row>
    <row r="12">
      <c r="E12" s="8" t="s">
        <v>638</v>
      </c>
      <c r="F12" s="55">
        <v>20.0</v>
      </c>
      <c r="I12" s="8" t="s">
        <v>639</v>
      </c>
      <c r="J12" s="8" t="s">
        <v>640</v>
      </c>
      <c r="K12" s="8" t="s">
        <v>641</v>
      </c>
      <c r="L12" s="8" t="s">
        <v>289</v>
      </c>
    </row>
    <row r="13">
      <c r="I13" s="8" t="s">
        <v>642</v>
      </c>
      <c r="J13" s="8" t="s">
        <v>643</v>
      </c>
      <c r="K13" s="8" t="s">
        <v>645</v>
      </c>
      <c r="L13" s="8" t="s">
        <v>289</v>
      </c>
    </row>
    <row r="14">
      <c r="I14" s="8" t="s">
        <v>646</v>
      </c>
      <c r="J14" s="8" t="s">
        <v>647</v>
      </c>
      <c r="K14" s="8" t="s">
        <v>648</v>
      </c>
      <c r="L14" s="8" t="s">
        <v>289</v>
      </c>
    </row>
    <row r="15">
      <c r="I15" s="8" t="s">
        <v>649</v>
      </c>
      <c r="J15" s="8" t="s">
        <v>650</v>
      </c>
      <c r="K15" s="8" t="s">
        <v>651</v>
      </c>
      <c r="L15" s="8" t="s">
        <v>289</v>
      </c>
    </row>
    <row r="16">
      <c r="I16" s="8" t="s">
        <v>652</v>
      </c>
      <c r="J16" s="8" t="s">
        <v>654</v>
      </c>
      <c r="K16" s="8" t="s">
        <v>656</v>
      </c>
      <c r="L16" s="8" t="s">
        <v>289</v>
      </c>
    </row>
    <row r="17">
      <c r="I17" s="8" t="s">
        <v>658</v>
      </c>
      <c r="J17" s="8" t="s">
        <v>659</v>
      </c>
      <c r="K17" s="8" t="s">
        <v>660</v>
      </c>
      <c r="L17" s="8" t="s">
        <v>126</v>
      </c>
    </row>
    <row r="18">
      <c r="I18" s="8" t="s">
        <v>661</v>
      </c>
      <c r="J18" s="8" t="s">
        <v>662</v>
      </c>
      <c r="K18" s="8" t="s">
        <v>663</v>
      </c>
      <c r="L18" s="8" t="s">
        <v>126</v>
      </c>
    </row>
    <row r="19">
      <c r="I19" s="8" t="s">
        <v>664</v>
      </c>
      <c r="J19" s="8" t="s">
        <v>665</v>
      </c>
      <c r="K19" s="8" t="s">
        <v>666</v>
      </c>
      <c r="L19" s="8" t="s">
        <v>34</v>
      </c>
    </row>
    <row r="20">
      <c r="I20" s="8" t="s">
        <v>667</v>
      </c>
      <c r="J20" s="8" t="s">
        <v>668</v>
      </c>
      <c r="K20" s="8" t="s">
        <v>669</v>
      </c>
      <c r="L20" s="8" t="s">
        <v>34</v>
      </c>
    </row>
    <row r="21">
      <c r="I21" s="8" t="s">
        <v>671</v>
      </c>
      <c r="J21" s="8" t="s">
        <v>672</v>
      </c>
      <c r="K21" s="8" t="s">
        <v>673</v>
      </c>
      <c r="L21" s="8" t="s">
        <v>34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 customWidth="1" min="5" max="5" width="25.5"/>
    <col customWidth="1" min="6" max="6" width="112.0"/>
  </cols>
  <sheetData>
    <row r="1">
      <c r="A1" s="57" t="s">
        <v>6</v>
      </c>
      <c r="B1" s="57" t="s">
        <v>766</v>
      </c>
      <c r="C1" s="57" t="s">
        <v>767</v>
      </c>
      <c r="D1" s="57" t="s">
        <v>5</v>
      </c>
      <c r="E1" s="58" t="s">
        <v>8</v>
      </c>
      <c r="F1" s="58" t="s">
        <v>768</v>
      </c>
    </row>
    <row r="2">
      <c r="A2" s="59" t="s">
        <v>36</v>
      </c>
      <c r="B2" s="59" t="s">
        <v>769</v>
      </c>
      <c r="C2" s="59" t="s">
        <v>770</v>
      </c>
      <c r="D2" s="59" t="s">
        <v>771</v>
      </c>
      <c r="E2" s="19" t="str">
        <f t="shared" ref="E2:E67" si="1">CONCATENATE(B2, " ", C2)</f>
        <v>Ali Arsanjani</v>
      </c>
      <c r="F2" s="19" t="str">
        <f t="array" ref="F2">index(bydomain!F:F, match(A2, bydomain!A:A, 0))</f>
        <v>Akshitaa Balasai, April Huang, Bobby Zhou, Derek Kuang, Ethan Lam, Grace Trainor, Hannah Gonzalez, Janice Rincon, Jordi Pham, Kyle Flores, Rezon Gautama, Saanvi Ranadive, Susana Haing, Vanessa Lau, Zachary Loo, Sonali Singh</v>
      </c>
    </row>
    <row r="3">
      <c r="A3" s="59" t="s">
        <v>70</v>
      </c>
      <c r="B3" s="60" t="s">
        <v>775</v>
      </c>
      <c r="C3" s="60" t="s">
        <v>776</v>
      </c>
      <c r="D3" s="60" t="s">
        <v>777</v>
      </c>
      <c r="E3" s="19" t="str">
        <f t="shared" si="1"/>
        <v>Aobo Li</v>
      </c>
      <c r="F3" s="19" t="str">
        <f t="array" ref="F3">index(bydomain!F:F, match(A3, bydomain!A:A, 0))</f>
        <v>Bryan Cruz, Hieu Nguyen, Madhav Pudukottai Krishnaraj, Ryan Conrad Atienza, Timothy Harmon</v>
      </c>
    </row>
    <row r="4">
      <c r="A4" s="59" t="s">
        <v>73</v>
      </c>
      <c r="B4" s="59" t="s">
        <v>782</v>
      </c>
      <c r="C4" s="59" t="s">
        <v>783</v>
      </c>
      <c r="D4" s="59" t="s">
        <v>784</v>
      </c>
      <c r="E4" s="19" t="str">
        <f t="shared" si="1"/>
        <v>Ben Smarr</v>
      </c>
      <c r="F4" s="19" t="str">
        <f t="array" ref="F4">index(bydomain!F:F, match(A4, bydomain!A:A, 0))</f>
        <v>Alisha Wang, Brandon Van Horn, Matthew Vaught, Vivian Lin</v>
      </c>
    </row>
    <row r="5">
      <c r="A5" s="59" t="s">
        <v>73</v>
      </c>
      <c r="B5" s="59" t="s">
        <v>790</v>
      </c>
      <c r="C5" s="59" t="s">
        <v>791</v>
      </c>
      <c r="D5" s="59" t="s">
        <v>792</v>
      </c>
      <c r="E5" s="19" t="str">
        <f t="shared" si="1"/>
        <v>Manny Ruidiaz</v>
      </c>
      <c r="F5" s="19" t="str">
        <f t="array" ref="F5">index(bydomain!F:F, match(A5, bydomain!A:A, 0))</f>
        <v>Alisha Wang, Brandon Van Horn, Matthew Vaught, Vivian Lin</v>
      </c>
    </row>
    <row r="6">
      <c r="A6" s="59" t="s">
        <v>80</v>
      </c>
      <c r="B6" s="60" t="s">
        <v>793</v>
      </c>
      <c r="C6" s="60" t="s">
        <v>794</v>
      </c>
      <c r="D6" s="61" t="s">
        <v>795</v>
      </c>
      <c r="E6" s="19" t="str">
        <f t="shared" si="1"/>
        <v>Biwei Huang</v>
      </c>
      <c r="F6" s="19" t="str">
        <f t="array" ref="F6">index(bydomain!F:F, match(A6, bydomain!A:A, 0))</f>
        <v>Bryan Nguyen, Joey Sandoval, Juee Deshmukh, Kyle Zhao, Palina Volskaya, Scarlett Scott, Uzair Gheewala, Vani Sahjwani</v>
      </c>
    </row>
    <row r="7">
      <c r="A7" s="59" t="s">
        <v>55</v>
      </c>
      <c r="B7" s="60" t="s">
        <v>800</v>
      </c>
      <c r="C7" s="60" t="s">
        <v>801</v>
      </c>
      <c r="D7" s="60" t="s">
        <v>802</v>
      </c>
      <c r="E7" s="19" t="str">
        <f t="shared" si="1"/>
        <v>Haojian Jin</v>
      </c>
      <c r="F7" s="19" t="str">
        <f t="array" ref="F7">index(bydomain!F:F, match(A7, bydomain!A:A, 0))</f>
        <v>Ali Ahmed, Claire Lee, Daniel Huang, David Chew, Jared Parra, Justin Lee, Keanu Ventura, Lillian Tran, Marvell Suhali, Matthew Justine Viray, Ryan Lee, Sharon Tey</v>
      </c>
    </row>
    <row r="8">
      <c r="A8" s="59" t="s">
        <v>55</v>
      </c>
      <c r="B8" s="60" t="s">
        <v>804</v>
      </c>
      <c r="C8" s="60" t="s">
        <v>805</v>
      </c>
      <c r="D8" s="60" t="s">
        <v>806</v>
      </c>
      <c r="E8" s="19" t="str">
        <f t="shared" si="1"/>
        <v>Michael Deisher</v>
      </c>
      <c r="F8" s="19" t="str">
        <f t="array" ref="F8">index(bydomain!F:F, match(A8, bydomain!A:A, 0))</f>
        <v>Ali Ahmed, Claire Lee, Daniel Huang, David Chew, Jared Parra, Justin Lee, Keanu Ventura, Lillian Tran, Marvell Suhali, Matthew Justine Viray, Ryan Lee, Sharon Tey</v>
      </c>
    </row>
    <row r="9">
      <c r="A9" s="59" t="s">
        <v>55</v>
      </c>
      <c r="B9" s="60" t="s">
        <v>807</v>
      </c>
      <c r="C9" s="60" t="s">
        <v>808</v>
      </c>
      <c r="D9" s="60" t="s">
        <v>809</v>
      </c>
      <c r="E9" s="19" t="str">
        <f t="shared" si="1"/>
        <v>Sylvia Downing</v>
      </c>
      <c r="F9" s="19" t="str">
        <f t="array" ref="F9">index(bydomain!F:F, match(A9, bydomain!A:A, 0))</f>
        <v>Ali Ahmed, Claire Lee, Daniel Huang, David Chew, Jared Parra, Justin Lee, Keanu Ventura, Lillian Tran, Marvell Suhali, Matthew Justine Viray, Ryan Lee, Sharon Tey</v>
      </c>
    </row>
    <row r="10">
      <c r="A10" s="59" t="s">
        <v>105</v>
      </c>
      <c r="B10" s="59" t="s">
        <v>813</v>
      </c>
      <c r="C10" s="59" t="s">
        <v>814</v>
      </c>
      <c r="D10" s="59" t="s">
        <v>815</v>
      </c>
      <c r="E10" s="19" t="str">
        <f t="shared" si="1"/>
        <v>Duncan Watson-Parris</v>
      </c>
      <c r="F10" s="19" t="str">
        <f t="array" ref="F10">index(bydomain!F:F, match(A10, bydomain!A:A, 0))</f>
        <v>Annaly Ellis, Cheryl Xiang, Coleman Clougherty, Coltrane Gowan, Jennifer Chang, Linus Lee, Roman Respicio, Vishal Rana Paidi</v>
      </c>
    </row>
    <row r="11">
      <c r="A11" s="59" t="s">
        <v>110</v>
      </c>
      <c r="B11" s="60" t="s">
        <v>816</v>
      </c>
      <c r="C11" s="60" t="s">
        <v>817</v>
      </c>
      <c r="D11" s="60" t="s">
        <v>818</v>
      </c>
      <c r="E11" s="19" t="str">
        <f t="shared" si="1"/>
        <v>Emily Aiken</v>
      </c>
      <c r="F11" s="19" t="str">
        <f t="array" ref="F11">index(bydomain!F:F, match(A11, bydomain!A:A, 0))</f>
        <v>Margot Nissen, Maya Sissel, Mieko Chun, Prisha Maiti, Simone Rao, Su Love Wai</v>
      </c>
    </row>
    <row r="12">
      <c r="A12" s="59" t="s">
        <v>56</v>
      </c>
      <c r="B12" s="60" t="s">
        <v>819</v>
      </c>
      <c r="C12" s="60" t="s">
        <v>820</v>
      </c>
      <c r="D12" s="60" t="s">
        <v>822</v>
      </c>
      <c r="E12" s="19" t="str">
        <f t="shared" si="1"/>
        <v>Gabriel Andres Garzo</v>
      </c>
      <c r="F12" s="19" t="str">
        <f t="array" ref="F12">index(bydomain!F:F, match(A12, bydomain!A:A, 0))</f>
        <v>Audrey Chung, Gabriel Maayah, Kang Lee, Kate Feng, Keilani Li, Siya Sathaye, Tiantian Zheng, Tristan Leo</v>
      </c>
    </row>
    <row r="13">
      <c r="A13" s="59" t="s">
        <v>56</v>
      </c>
      <c r="B13" s="60" t="s">
        <v>827</v>
      </c>
      <c r="C13" s="60" t="s">
        <v>828</v>
      </c>
      <c r="D13" s="60" t="s">
        <v>830</v>
      </c>
      <c r="E13" s="19" t="str">
        <f t="shared" si="1"/>
        <v>Madison Hughes</v>
      </c>
      <c r="F13" s="19" t="str">
        <f t="array" ref="F13">index(bydomain!F:F, match(A13, bydomain!A:A, 0))</f>
        <v>Audrey Chung, Gabriel Maayah, Kang Lee, Kate Feng, Keilani Li, Siya Sathaye, Tiantian Zheng, Tristan Leo</v>
      </c>
    </row>
    <row r="14">
      <c r="A14" s="59" t="s">
        <v>126</v>
      </c>
      <c r="B14" s="60" t="s">
        <v>831</v>
      </c>
      <c r="C14" s="60" t="s">
        <v>832</v>
      </c>
      <c r="D14" s="60" t="s">
        <v>833</v>
      </c>
      <c r="E14" s="19" t="str">
        <f t="shared" si="1"/>
        <v>Igor Sfiligoi</v>
      </c>
      <c r="F14" s="19" t="str">
        <f t="array" ref="F14">index(bydomain!F:F, match(A14, bydomain!A:A, 0))</f>
        <v>Ahmad Ageel, Dariy Marshaev, Dylan Vo, Junle Li, Khaleel Karim, Marcelo Arcos, Rohan Raval, Zonglin Zhang</v>
      </c>
    </row>
    <row r="15">
      <c r="A15" s="59" t="s">
        <v>126</v>
      </c>
      <c r="B15" s="60" t="s">
        <v>838</v>
      </c>
      <c r="C15" s="60" t="s">
        <v>839</v>
      </c>
      <c r="D15" s="60" t="s">
        <v>840</v>
      </c>
      <c r="E15" s="19" t="str">
        <f t="shared" si="1"/>
        <v>Nicholas Boechler</v>
      </c>
      <c r="F15" s="19" t="str">
        <f t="array" ref="F15">index(bydomain!F:F, match(A15, bydomain!A:A, 0))</f>
        <v>Ahmad Ageel, Dariy Marshaev, Dylan Vo, Junle Li, Khaleel Karim, Marcelo Arcos, Rohan Raval, Zonglin Zhang</v>
      </c>
    </row>
    <row r="16">
      <c r="A16" s="59" t="s">
        <v>58</v>
      </c>
      <c r="B16" s="60" t="s">
        <v>831</v>
      </c>
      <c r="C16" s="60" t="s">
        <v>832</v>
      </c>
      <c r="D16" s="60" t="s">
        <v>833</v>
      </c>
      <c r="E16" s="19" t="str">
        <f t="shared" si="1"/>
        <v>Igor Sfiligoi</v>
      </c>
      <c r="F16" s="19" t="str">
        <f t="array" ref="F16">index(bydomain!F:F, match(A16, bydomain!A:A, 0))</f>
        <v>Aryan Nath, Jaden Goelkel, Jay Manjrekar, Joseph Calderon, Ketan Mittal, Ryan Lindberg, Sweekrit Bhatnagar</v>
      </c>
    </row>
    <row r="17">
      <c r="A17" s="59" t="s">
        <v>58</v>
      </c>
      <c r="B17" s="60" t="s">
        <v>845</v>
      </c>
      <c r="C17" s="60" t="s">
        <v>846</v>
      </c>
      <c r="D17" s="60" t="s">
        <v>847</v>
      </c>
      <c r="E17" s="19" t="str">
        <f t="shared" si="1"/>
        <v>Jeff Candy</v>
      </c>
      <c r="F17" s="19" t="str">
        <f t="array" ref="F17">index(bydomain!F:F, match(A17, bydomain!A:A, 0))</f>
        <v>Aryan Nath, Jaden Goelkel, Jay Manjrekar, Joseph Calderon, Ketan Mittal, Ryan Lindberg, Sweekrit Bhatnagar</v>
      </c>
    </row>
    <row r="18">
      <c r="A18" s="59" t="s">
        <v>58</v>
      </c>
      <c r="B18" s="60" t="s">
        <v>816</v>
      </c>
      <c r="C18" s="60" t="s">
        <v>849</v>
      </c>
      <c r="D18" s="60" t="s">
        <v>850</v>
      </c>
      <c r="E18" s="19" t="str">
        <f t="shared" si="1"/>
        <v>Emily Belli</v>
      </c>
      <c r="F18" s="19" t="str">
        <f t="array" ref="F18">index(bydomain!F:F, match(A18, bydomain!A:A, 0))</f>
        <v>Aryan Nath, Jaden Goelkel, Jay Manjrekar, Joseph Calderon, Ketan Mittal, Ryan Lindberg, Sweekrit Bhatnagar</v>
      </c>
    </row>
    <row r="19">
      <c r="A19" s="59" t="s">
        <v>145</v>
      </c>
      <c r="B19" s="60" t="s">
        <v>857</v>
      </c>
      <c r="C19" s="60" t="s">
        <v>858</v>
      </c>
      <c r="D19" s="60" t="s">
        <v>859</v>
      </c>
      <c r="E19" s="19" t="str">
        <f t="shared" si="1"/>
        <v>Ilyes Meftah</v>
      </c>
      <c r="F19" s="19" t="str">
        <f t="array" ref="F19">index(bydomain!F:F, match(A19, bydomain!A:A, 0))</f>
        <v>Aarshia Gupta, Clayton Tan, Dhruv Sehgal, Dylan Louie, Emily Yip, Erika Tong, Kaushik Agastyaraju, Yutao Lin</v>
      </c>
    </row>
    <row r="20">
      <c r="A20" s="59" t="s">
        <v>145</v>
      </c>
      <c r="B20" s="60" t="s">
        <v>860</v>
      </c>
      <c r="C20" s="60" t="s">
        <v>861</v>
      </c>
      <c r="D20" s="60" t="s">
        <v>862</v>
      </c>
      <c r="E20" s="19" t="str">
        <f t="shared" si="1"/>
        <v>Justin Murphy</v>
      </c>
      <c r="F20" s="19" t="str">
        <f t="array" ref="F20">index(bydomain!F:F, match(A20, bydomain!A:A, 0))</f>
        <v>Aarshia Gupta, Clayton Tan, Dhruv Sehgal, Dylan Louie, Emily Yip, Erika Tong, Kaushik Agastyaraju, Yutao Lin</v>
      </c>
    </row>
    <row r="21">
      <c r="A21" s="59" t="s">
        <v>145</v>
      </c>
      <c r="B21" s="60" t="s">
        <v>868</v>
      </c>
      <c r="C21" s="60" t="s">
        <v>869</v>
      </c>
      <c r="D21" s="60" t="s">
        <v>870</v>
      </c>
      <c r="E21" s="19" t="str">
        <f t="shared" si="1"/>
        <v>Mark Dixon</v>
      </c>
      <c r="F21" s="19" t="str">
        <f t="array" ref="F21">index(bydomain!F:F, match(A21, bydomain!A:A, 0))</f>
        <v>Aarshia Gupta, Clayton Tan, Dhruv Sehgal, Dylan Louie, Emily Yip, Erika Tong, Kaushik Agastyaraju, Yutao Lin</v>
      </c>
    </row>
    <row r="22">
      <c r="A22" s="59" t="s">
        <v>145</v>
      </c>
      <c r="B22" s="60" t="s">
        <v>874</v>
      </c>
      <c r="C22" s="60" t="s">
        <v>875</v>
      </c>
      <c r="D22" s="60" t="s">
        <v>876</v>
      </c>
      <c r="E22" s="19" t="str">
        <f t="shared" si="1"/>
        <v>Lawrence Vulis</v>
      </c>
      <c r="F22" s="19" t="str">
        <f t="array" ref="F22">index(bydomain!F:F, match(A22, bydomain!A:A, 0))</f>
        <v>Aarshia Gupta, Clayton Tan, Dhruv Sehgal, Dylan Louie, Emily Yip, Erika Tong, Kaushik Agastyaraju, Yutao Lin</v>
      </c>
    </row>
    <row r="23">
      <c r="A23" s="59" t="s">
        <v>59</v>
      </c>
      <c r="B23" s="59" t="s">
        <v>877</v>
      </c>
      <c r="C23" s="59" t="s">
        <v>878</v>
      </c>
      <c r="D23" s="59" t="s">
        <v>879</v>
      </c>
      <c r="E23" s="19" t="str">
        <f t="shared" si="1"/>
        <v>Kyle Nero</v>
      </c>
      <c r="F23" s="19" t="str">
        <f t="array" ref="F23">index(bydomain!F:F, match(A23, bydomain!A:A, 0))</f>
        <v>Aiden Lai, Huiyu Yie, Ishaan Tibdewal, Jack Ding, Katie Hannigan, Liuxuhong Zhao, Michael Petersen, Sam Ouyang, Song Su, Steven Ouyang, Vanessa Feng, Zilig Xu</v>
      </c>
    </row>
    <row r="24">
      <c r="A24" s="59" t="s">
        <v>59</v>
      </c>
      <c r="B24" s="59" t="s">
        <v>886</v>
      </c>
      <c r="C24" s="59" t="s">
        <v>887</v>
      </c>
      <c r="D24" s="59" t="s">
        <v>888</v>
      </c>
      <c r="E24" s="19" t="str">
        <f t="shared" si="1"/>
        <v>Daniel Mathew</v>
      </c>
      <c r="F24" s="19" t="str">
        <f t="array" ref="F24">index(bydomain!F:F, match(A24, bydomain!A:A, 0))</f>
        <v>Aiden Lai, Huiyu Yie, Ishaan Tibdewal, Jack Ding, Katie Hannigan, Liuxuhong Zhao, Michael Petersen, Sam Ouyang, Song Su, Steven Ouyang, Vanessa Feng, Zilig Xu</v>
      </c>
    </row>
    <row r="25">
      <c r="A25" s="59" t="s">
        <v>59</v>
      </c>
      <c r="B25" s="59" t="s">
        <v>890</v>
      </c>
      <c r="C25" s="59" t="s">
        <v>891</v>
      </c>
      <c r="D25" s="59" t="s">
        <v>893</v>
      </c>
      <c r="E25" s="19" t="str">
        <f t="shared" si="1"/>
        <v>Berk Ustun</v>
      </c>
      <c r="F25" s="19" t="str">
        <f t="array" ref="F25">index(bydomain!F:F, match(A25, bydomain!A:A, 0))</f>
        <v>Aiden Lai, Huiyu Yie, Ishaan Tibdewal, Jack Ding, Katie Hannigan, Liuxuhong Zhao, Michael Petersen, Sam Ouyang, Song Su, Steven Ouyang, Vanessa Feng, Zilig Xu</v>
      </c>
    </row>
    <row r="26">
      <c r="A26" s="59" t="s">
        <v>109</v>
      </c>
      <c r="B26" s="59" t="s">
        <v>898</v>
      </c>
      <c r="C26" s="59" t="s">
        <v>899</v>
      </c>
      <c r="D26" s="59" t="s">
        <v>900</v>
      </c>
      <c r="E26" s="19" t="str">
        <f t="shared" si="1"/>
        <v>Mikio Aoi</v>
      </c>
      <c r="F26" s="19" t="str">
        <f t="array" ref="F26">index(bydomain!F:F, match(A26, bydomain!A:A, 0))</f>
        <v>Antony Munkhchuluun, Audrey Meredith, Hansel Puthenparambil, Kevin Zhu, Lyn Mansfield, Matthew Lee, Taejun Park, Trinity Truong</v>
      </c>
    </row>
    <row r="27">
      <c r="A27" s="60" t="s">
        <v>166</v>
      </c>
      <c r="B27" s="60" t="s">
        <v>902</v>
      </c>
      <c r="C27" s="60" t="s">
        <v>903</v>
      </c>
      <c r="D27" s="60" t="s">
        <v>904</v>
      </c>
      <c r="E27" s="19" t="str">
        <f t="shared" si="1"/>
        <v>Nathan Hui</v>
      </c>
      <c r="F27" s="19" t="str">
        <f t="array" ref="F27">index(bydomain!F:F, match(A27, bydomain!A:A, 0))</f>
        <v>Elvin Chen, Jocelyn Miao, Munachimso Ndubisi, Rocio Saez Aguirre, Summer Garvais</v>
      </c>
    </row>
    <row r="28">
      <c r="A28" s="59" t="s">
        <v>166</v>
      </c>
      <c r="B28" s="59" t="s">
        <v>905</v>
      </c>
      <c r="C28" s="59" t="s">
        <v>906</v>
      </c>
      <c r="D28" s="59" t="s">
        <v>907</v>
      </c>
      <c r="E28" s="19" t="str">
        <f t="shared" si="1"/>
        <v>Falko Kuester</v>
      </c>
      <c r="F28" s="19" t="str">
        <f t="array" ref="F28">index(bydomain!F:F, match(A28, bydomain!A:A, 0))</f>
        <v>Elvin Chen, Jocelyn Miao, Munachimso Ndubisi, Rocio Saez Aguirre, Summer Garvais</v>
      </c>
    </row>
    <row r="29">
      <c r="A29" s="59" t="s">
        <v>166</v>
      </c>
      <c r="B29" s="59" t="s">
        <v>909</v>
      </c>
      <c r="C29" s="59" t="s">
        <v>910</v>
      </c>
      <c r="D29" s="59" t="s">
        <v>911</v>
      </c>
      <c r="E29" s="19" t="str">
        <f t="shared" si="1"/>
        <v>Neal Driscoll</v>
      </c>
      <c r="F29" s="19" t="str">
        <f t="array" ref="F29">index(bydomain!F:F, match(A29, bydomain!A:A, 0))</f>
        <v>Elvin Chen, Jocelyn Miao, Munachimso Ndubisi, Rocio Saez Aguirre, Summer Garvais</v>
      </c>
    </row>
    <row r="30">
      <c r="A30" s="59" t="s">
        <v>148</v>
      </c>
      <c r="B30" s="60" t="s">
        <v>913</v>
      </c>
      <c r="C30" s="60" t="s">
        <v>914</v>
      </c>
      <c r="D30" s="60" t="s">
        <v>915</v>
      </c>
      <c r="E30" s="19" t="str">
        <f t="shared" si="1"/>
        <v>Rayan Saab</v>
      </c>
      <c r="F30" s="19" t="str">
        <f t="array" ref="F30">index(bydomain!F:F, match(A30, bydomain!A:A, 0))</f>
        <v>Aarav Agrawal, Adrian Kong, Chidiebere Agunanne, Owen McFadden, Siddhartha Sarvepally, Ty Albao, Zach Cochran, Dylan Cheng</v>
      </c>
    </row>
    <row r="31">
      <c r="A31" s="59" t="s">
        <v>148</v>
      </c>
      <c r="B31" s="60" t="s">
        <v>917</v>
      </c>
      <c r="C31" s="60" t="s">
        <v>918</v>
      </c>
      <c r="D31" s="62" t="s">
        <v>919</v>
      </c>
      <c r="E31" s="19" t="str">
        <f t="shared" si="1"/>
        <v>Bradley Voytek</v>
      </c>
      <c r="F31" s="19" t="str">
        <f t="array" ref="F31">index(bydomain!F:F, match(A31, bydomain!A:A, 0))</f>
        <v>Aarav Agrawal, Adrian Kong, Chidiebere Agunanne, Owen McFadden, Siddhartha Sarvepally, Ty Albao, Zach Cochran, Dylan Cheng</v>
      </c>
    </row>
    <row r="32">
      <c r="A32" s="59" t="s">
        <v>169</v>
      </c>
      <c r="B32" s="59" t="s">
        <v>921</v>
      </c>
      <c r="C32" s="59" t="s">
        <v>924</v>
      </c>
      <c r="D32" s="63" t="s">
        <v>929</v>
      </c>
      <c r="E32" s="19" t="str">
        <f t="shared" si="1"/>
        <v>Rob Knight</v>
      </c>
      <c r="F32" s="19" t="str">
        <f t="array" ref="F32">index(bydomain!F:F, match(A32, bydomain!A:A, 0))</f>
        <v>Claire Wang, Jonathan Yepez, Junran Yang, Nicholas Chan, Ruofei Mao, Sahana Rangan, Terran Chow</v>
      </c>
    </row>
    <row r="33">
      <c r="A33" s="59" t="s">
        <v>191</v>
      </c>
      <c r="B33" s="59" t="s">
        <v>930</v>
      </c>
      <c r="C33" s="59" t="s">
        <v>931</v>
      </c>
      <c r="D33" s="59" t="s">
        <v>932</v>
      </c>
      <c r="E33" s="19" t="str">
        <f t="shared" si="1"/>
        <v>Tauhidur Rahman</v>
      </c>
      <c r="F33" s="19" t="str">
        <f t="array" ref="F33">index(bydomain!F:F, match(A33, bydomain!A:A, 0))</f>
        <v>Bryan Zhang, Cheng-I Lin, Claire Tu, Colin Tran, Haoshuo Bi, Jacob Doan, Jeremy Cho, Yi-Hsuan Kuo, Po-Chen Lin</v>
      </c>
    </row>
    <row r="34">
      <c r="A34" s="59" t="s">
        <v>66</v>
      </c>
      <c r="B34" s="60" t="s">
        <v>937</v>
      </c>
      <c r="C34" s="60" t="s">
        <v>938</v>
      </c>
      <c r="D34" s="60" t="s">
        <v>939</v>
      </c>
      <c r="E34" s="19" t="str">
        <f t="shared" si="1"/>
        <v>Tiffany Amariuta</v>
      </c>
      <c r="F34" s="19" t="str">
        <f t="array" ref="F34">index(bydomain!F:F, match(A34, bydomain!A:A, 0))</f>
        <v>Abdulrahim Ham, Borngreat Omoma-Edosa, Grace Chen, Jared Wang, Krish Desai, Sana Gupta, Tori Nguyen, Ziyan Liu</v>
      </c>
    </row>
    <row r="35">
      <c r="A35" s="59" t="s">
        <v>197</v>
      </c>
      <c r="B35" s="60" t="s">
        <v>943</v>
      </c>
      <c r="C35" s="60" t="s">
        <v>944</v>
      </c>
      <c r="D35" s="60" t="s">
        <v>945</v>
      </c>
      <c r="E35" s="19" t="str">
        <f t="shared" si="1"/>
        <v>Victor Minces</v>
      </c>
      <c r="F35" s="19" t="str">
        <f t="array" ref="F35">index(bydomain!F:F, match(A35, bydomain!A:A, 0))</f>
        <v>Acelynn Qiao, Leonard Malott, Minyoung Kim, Sahar Zahir, Viela Lansangan, Yadushan Thillainathan</v>
      </c>
    </row>
    <row r="36">
      <c r="A36" s="59" t="s">
        <v>207</v>
      </c>
      <c r="B36" s="59" t="s">
        <v>951</v>
      </c>
      <c r="C36" s="59" t="s">
        <v>953</v>
      </c>
      <c r="D36" s="59" t="s">
        <v>954</v>
      </c>
      <c r="E36" s="19" t="str">
        <f t="shared" si="1"/>
        <v>Alex Warstadt</v>
      </c>
      <c r="F36" s="19" t="str">
        <f t="array" ref="F36">index(bydomain!F:F, match(A36, bydomain!A:A, 0))</f>
        <v>Esther Chung, Jason Liu, Karthik Sankaran, Michelle Hong, Samson Wan</v>
      </c>
    </row>
    <row r="37">
      <c r="A37" s="59" t="s">
        <v>83</v>
      </c>
      <c r="B37" s="60" t="s">
        <v>956</v>
      </c>
      <c r="C37" s="60" t="s">
        <v>958</v>
      </c>
      <c r="D37" s="61" t="s">
        <v>959</v>
      </c>
      <c r="E37" s="19" t="str">
        <f t="shared" si="1"/>
        <v>Armin Schwartzman</v>
      </c>
      <c r="F37" s="19" t="str">
        <f t="array" ref="F37">index(bydomain!F:F, match(A37, bydomain!A:A, 0))</f>
        <v>Abhi Sathvika Goriparthy, Alex Frederick, Atherv Vidhate, Gavin Wu, Genevieve Selsor, Jeremy Cheng, Jonathan Yim, Kimi Chen, Pranav Rajaram, Preethi Manne, Terry Su, Tony Bai, Vincent Cho, Xiao Cheng, Yidong Shi, Zubin Sannakkayala</v>
      </c>
    </row>
    <row r="38">
      <c r="A38" s="59" t="s">
        <v>83</v>
      </c>
      <c r="B38" s="60" t="s">
        <v>860</v>
      </c>
      <c r="C38" s="60" t="s">
        <v>964</v>
      </c>
      <c r="D38" s="61" t="s">
        <v>965</v>
      </c>
      <c r="E38" s="19" t="str">
        <f t="shared" si="1"/>
        <v>Justin Eldridge</v>
      </c>
      <c r="F38" s="19" t="str">
        <f t="array" ref="F38">index(bydomain!F:F, match(A38, bydomain!A:A, 0))</f>
        <v>Abhi Sathvika Goriparthy, Alex Frederick, Atherv Vidhate, Gavin Wu, Genevieve Selsor, Jeremy Cheng, Jonathan Yim, Kimi Chen, Pranav Rajaram, Preethi Manne, Terry Su, Tony Bai, Vincent Cho, Xiao Cheng, Yidong Shi, Zubin Sannakkayala</v>
      </c>
    </row>
    <row r="39">
      <c r="A39" s="59" t="s">
        <v>53</v>
      </c>
      <c r="B39" s="59" t="s">
        <v>966</v>
      </c>
      <c r="C39" s="59" t="s">
        <v>968</v>
      </c>
      <c r="D39" s="59" t="s">
        <v>969</v>
      </c>
      <c r="E39" s="19" t="str">
        <f t="shared" si="1"/>
        <v>Dusan Bosnjakovic</v>
      </c>
      <c r="F39" s="19" t="str">
        <f t="array" ref="F39">index(bydomain!F:F, match(A39, bydomain!A:A, 0))</f>
        <v>Ishaan Gosain, Ivan Chen, Jiya Makhija, Sophia Vo</v>
      </c>
    </row>
    <row r="40">
      <c r="A40" s="59" t="s">
        <v>53</v>
      </c>
      <c r="B40" s="59" t="s">
        <v>974</v>
      </c>
      <c r="C40" s="59" t="s">
        <v>975</v>
      </c>
      <c r="D40" s="59" t="s">
        <v>976</v>
      </c>
      <c r="E40" s="19" t="str">
        <f t="shared" si="1"/>
        <v>Perez Ogayo</v>
      </c>
      <c r="F40" s="19" t="str">
        <f t="array" ref="F40">index(bydomain!F:F, match(A40, bydomain!A:A, 0))</f>
        <v>Ishaan Gosain, Ivan Chen, Jiya Makhija, Sophia Vo</v>
      </c>
    </row>
    <row r="41">
      <c r="A41" s="59" t="s">
        <v>53</v>
      </c>
      <c r="B41" s="59" t="s">
        <v>982</v>
      </c>
      <c r="C41" s="59" t="s">
        <v>983</v>
      </c>
      <c r="D41" s="59" t="s">
        <v>984</v>
      </c>
      <c r="E41" s="19" t="str">
        <f t="shared" si="1"/>
        <v>Dhruvi Kothari</v>
      </c>
      <c r="F41" s="19" t="str">
        <f t="array" ref="F41">index(bydomain!F:F, match(A41, bydomain!A:A, 0))</f>
        <v>Ishaan Gosain, Ivan Chen, Jiya Makhija, Sophia Vo</v>
      </c>
    </row>
    <row r="42">
      <c r="A42" s="59" t="s">
        <v>53</v>
      </c>
      <c r="B42" s="59" t="s">
        <v>943</v>
      </c>
      <c r="C42" s="59" t="s">
        <v>991</v>
      </c>
      <c r="D42" s="59" t="s">
        <v>992</v>
      </c>
      <c r="E42" s="19" t="str">
        <f t="shared" si="1"/>
        <v>Victor Calderon</v>
      </c>
      <c r="F42" s="19" t="str">
        <f t="array" ref="F42">index(bydomain!F:F, match(A42, bydomain!A:A, 0))</f>
        <v>Ishaan Gosain, Ivan Chen, Jiya Makhija, Sophia Vo</v>
      </c>
    </row>
    <row r="43">
      <c r="A43" s="59" t="s">
        <v>82</v>
      </c>
      <c r="B43" s="60" t="s">
        <v>996</v>
      </c>
      <c r="C43" s="60" t="s">
        <v>997</v>
      </c>
      <c r="D43" s="60" t="s">
        <v>998</v>
      </c>
      <c r="E43" s="19" t="str">
        <f t="shared" si="1"/>
        <v>Jingbo Shang</v>
      </c>
      <c r="F43" s="19" t="str">
        <f t="array" ref="F43">index(bydomain!F:F, match(A43, bydomain!A:A, 0))</f>
        <v>Akshay Uppal, Edwards Tong, Kangxin Peng, Yonghao Wang, Jingwen Gu</v>
      </c>
    </row>
    <row r="44">
      <c r="A44" s="59" t="s">
        <v>235</v>
      </c>
      <c r="B44" s="60" t="s">
        <v>999</v>
      </c>
      <c r="C44" s="60" t="s">
        <v>1000</v>
      </c>
      <c r="D44" s="60" t="s">
        <v>1001</v>
      </c>
      <c r="E44" s="19" t="str">
        <f t="shared" si="1"/>
        <v>Lily Weng</v>
      </c>
      <c r="F44" s="19" t="str">
        <f t="array" ref="F44">index(bydomain!F:F, match(A44, bydomain!A:A, 0))</f>
        <v>Amrutha Potluri, Dylan Craver, Dylan Dsouza, Julia Dial, Keith Gong, Pratham Aggarwal, Ritvik Chand, Zhuang Mingrui</v>
      </c>
    </row>
    <row r="45">
      <c r="A45" s="59" t="s">
        <v>34</v>
      </c>
      <c r="B45" s="59" t="s">
        <v>1002</v>
      </c>
      <c r="C45" s="59" t="s">
        <v>1003</v>
      </c>
      <c r="D45" s="63" t="s">
        <v>1004</v>
      </c>
      <c r="E45" s="19" t="str">
        <f t="shared" si="1"/>
        <v>Misha Belkin</v>
      </c>
      <c r="F45" s="19" t="str">
        <f t="array" ref="F45">index(bydomain!F:F, match(A45, bydomain!A:A, 0))</f>
        <v>Amjad Faiz Bin Muhamad Afandy, Flavia Gabriella Tedjarutjianta, Gabriel Tedja, Hasaam Butt, Janie Chan, Mohak Prakash, Prabhjas Singh, Qi Zhang, Shunyi Du, Sonali Singh</v>
      </c>
    </row>
    <row r="46">
      <c r="A46" s="59" t="s">
        <v>54</v>
      </c>
      <c r="B46" s="60" t="s">
        <v>1010</v>
      </c>
      <c r="C46" s="60" t="s">
        <v>1011</v>
      </c>
      <c r="D46" s="60" t="s">
        <v>1012</v>
      </c>
      <c r="E46" s="19" t="str">
        <f t="shared" si="1"/>
        <v>Ryan Lingo</v>
      </c>
      <c r="F46" s="19" t="str">
        <f t="array" ref="F46">index(bydomain!F:F, match(A46, bydomain!A:A, 0))</f>
        <v>Aarushi Jain, Brian Jing, Chinmay Bharambe, Daniel Budidharma, Henry Liu, Katie Moc, Raghav Dewangan, Royce Nguyen, Ryan Tang, Shawn Cheng, Turki Alrasheed, Viki Shi</v>
      </c>
    </row>
    <row r="47">
      <c r="A47" s="59" t="s">
        <v>54</v>
      </c>
      <c r="B47" s="60" t="s">
        <v>1016</v>
      </c>
      <c r="C47" s="60" t="s">
        <v>1017</v>
      </c>
      <c r="D47" s="60" t="s">
        <v>1019</v>
      </c>
      <c r="E47" s="19" t="str">
        <f t="shared" si="1"/>
        <v>Rajeev Chhajer</v>
      </c>
      <c r="F47" s="19" t="str">
        <f t="array" ref="F47">index(bydomain!F:F, match(A47, bydomain!A:A, 0))</f>
        <v>Aarushi Jain, Brian Jing, Chinmay Bharambe, Daniel Budidharma, Henry Liu, Katie Moc, Raghav Dewangan, Royce Nguyen, Ryan Tang, Shawn Cheng, Turki Alrasheed, Viki Shi</v>
      </c>
    </row>
    <row r="48">
      <c r="A48" s="59" t="s">
        <v>273</v>
      </c>
      <c r="B48" s="60" t="s">
        <v>1021</v>
      </c>
      <c r="C48" s="60" t="s">
        <v>1022</v>
      </c>
      <c r="D48" s="61" t="s">
        <v>1023</v>
      </c>
      <c r="E48" s="19" t="str">
        <f t="shared" si="1"/>
        <v>Stuart Geiger</v>
      </c>
      <c r="F48" s="19" t="str">
        <f t="array" ref="F48">index(bydomain!F:F, match(A48, bydomain!A:A, 0))</f>
        <v>Amelia Wong, Arushi Patra, Mythri Kishore, Nayana Naineni, Sumedha Rai, Vanshika Somani</v>
      </c>
    </row>
    <row r="49">
      <c r="A49" s="59" t="s">
        <v>132</v>
      </c>
      <c r="B49" s="60" t="s">
        <v>1029</v>
      </c>
      <c r="C49" s="60" t="s">
        <v>1031</v>
      </c>
      <c r="D49" s="60" t="s">
        <v>1032</v>
      </c>
      <c r="E49" s="19" t="str">
        <f t="shared" si="1"/>
        <v>Tianhao Wang</v>
      </c>
      <c r="F49" s="19" t="str">
        <f t="array" ref="F49">index(bydomain!F:F, match(A49, bydomain!A:A, 0))</f>
        <v>Alexander Kuo, Daniel Phan, Edison Ayran, Fiona Zou, Jiahe Qin, Praveen Sharma, Terence Zhang, Wanchen Yang</v>
      </c>
    </row>
    <row r="50">
      <c r="A50" s="59" t="s">
        <v>85</v>
      </c>
      <c r="B50" s="59" t="s">
        <v>1036</v>
      </c>
      <c r="C50" s="59" t="s">
        <v>1037</v>
      </c>
      <c r="D50" s="59" t="s">
        <v>1038</v>
      </c>
      <c r="E50" s="19" t="str">
        <f t="shared" si="1"/>
        <v>Yoav Freund</v>
      </c>
      <c r="F50" s="19" t="str">
        <f t="array" ref="F50">index(bydomain!F:F, match(A50, bydomain!A:A, 0))</f>
        <v>Andrew Chen, Saisohan Shingade, Surya Setty, Uday Lingampalli</v>
      </c>
    </row>
    <row r="51">
      <c r="A51" s="59" t="s">
        <v>289</v>
      </c>
      <c r="B51" s="59" t="s">
        <v>1045</v>
      </c>
      <c r="C51" s="59" t="s">
        <v>1031</v>
      </c>
      <c r="D51" s="59" t="s">
        <v>1046</v>
      </c>
      <c r="E51" s="19" t="str">
        <f t="shared" si="1"/>
        <v>Yusu Wang</v>
      </c>
      <c r="F51" s="19" t="str">
        <f t="array" ref="F51">index(bydomain!F:F, match(A51, bydomain!A:A, 0))</f>
        <v>Aathi Muthu, Anand Baidya, Andrew Youn, Brian Can, Haowen Zhang, Jaden Vo, Nimisha Mishra, Po-Hua Chen, Shiv Mehta, Vedant Vardhaan, Vishudh Shah, Zhixiang Zhang, Evelyn Zhang</v>
      </c>
    </row>
    <row r="52">
      <c r="A52" s="62" t="s">
        <v>291</v>
      </c>
      <c r="B52" s="62" t="s">
        <v>1047</v>
      </c>
      <c r="C52" s="62" t="s">
        <v>1048</v>
      </c>
      <c r="D52" s="62" t="s">
        <v>1049</v>
      </c>
      <c r="E52" s="19" t="str">
        <f t="shared" si="1"/>
        <v>Babak Salimi</v>
      </c>
      <c r="F52" s="19" t="str">
        <f t="array" ref="F52">index(bydomain!F:F, match(A52, bydomain!A:A, 0))</f>
        <v>Divyansh Kanodia, Kavyan Patel, Kevin Zhang, Ved Panse, Noah Golder, Michael Luo, Ananya Wasker, Vipra Bindal</v>
      </c>
    </row>
    <row r="53">
      <c r="A53" s="59" t="s">
        <v>305</v>
      </c>
      <c r="B53" s="59" t="s">
        <v>1054</v>
      </c>
      <c r="C53" s="59" t="s">
        <v>1056</v>
      </c>
      <c r="D53" s="59" t="s">
        <v>1059</v>
      </c>
      <c r="E53" s="19" t="str">
        <f t="shared" si="1"/>
        <v>Rajesh Gupta</v>
      </c>
      <c r="F53" s="19" t="str">
        <f t="array" ref="F53">index(bydomain!F:F, match(A53, bydomain!A:A, 0))</f>
        <v>Leo Wiemelt, Lucien Hsiao, Neil Dewan, Zihan Zhang</v>
      </c>
    </row>
    <row r="54">
      <c r="A54" s="59" t="s">
        <v>51</v>
      </c>
      <c r="B54" s="60" t="s">
        <v>1061</v>
      </c>
      <c r="C54" s="60" t="s">
        <v>1062</v>
      </c>
      <c r="D54" s="60" t="s">
        <v>1063</v>
      </c>
      <c r="E54" s="19" t="str">
        <f t="shared" si="1"/>
        <v>Renu Raman</v>
      </c>
      <c r="F54" s="19" t="str">
        <f t="array" ref="F54">index(bydomain!F:F, match(A54, bydomain!A:A, 0))</f>
        <v>Casey So, Mehul Verma, Rakshan Patnaik, Tejas Mani</v>
      </c>
    </row>
    <row r="55">
      <c r="A55" s="59" t="s">
        <v>51</v>
      </c>
      <c r="B55" s="60" t="s">
        <v>1064</v>
      </c>
      <c r="C55" s="60" t="s">
        <v>1065</v>
      </c>
      <c r="D55" s="60" t="s">
        <v>1066</v>
      </c>
      <c r="E55" s="19" t="str">
        <f t="shared" si="1"/>
        <v>Brian Chin</v>
      </c>
      <c r="F55" s="19" t="str">
        <f t="array" ref="F55">index(bydomain!F:F, match(A55, bydomain!A:A, 0))</f>
        <v>Casey So, Mehul Verma, Rakshan Patnaik, Tejas Mani</v>
      </c>
    </row>
    <row r="56">
      <c r="A56" s="59" t="s">
        <v>52</v>
      </c>
      <c r="B56" s="59" t="s">
        <v>1061</v>
      </c>
      <c r="C56" s="59" t="s">
        <v>1062</v>
      </c>
      <c r="D56" s="59" t="s">
        <v>1063</v>
      </c>
      <c r="E56" s="19" t="str">
        <f t="shared" si="1"/>
        <v>Renu Raman</v>
      </c>
      <c r="F56" s="19" t="str">
        <f t="array" ref="F56">index(bydomain!F:F, match(A56, bydomain!A:A, 0))</f>
        <v>Deepal Deleena, Jacob Kavanal, Lakshmi Manasa Maddi, Mianzhi Hu, Vaidehi Karve, Victor Chen</v>
      </c>
    </row>
    <row r="57">
      <c r="A57" s="59" t="s">
        <v>52</v>
      </c>
      <c r="B57" s="59" t="s">
        <v>1072</v>
      </c>
      <c r="C57" s="59" t="s">
        <v>1073</v>
      </c>
      <c r="D57" s="59" t="s">
        <v>1074</v>
      </c>
      <c r="E57" s="19" t="str">
        <f t="shared" si="1"/>
        <v>Vikram Joshi</v>
      </c>
      <c r="F57" s="19" t="str">
        <f t="array" ref="F57">index(bydomain!F:F, match(A57, bydomain!A:A, 0))</f>
        <v>Deepal Deleena, Jacob Kavanal, Lakshmi Manasa Maddi, Mianzhi Hu, Vaidehi Karve, Victor Chen</v>
      </c>
    </row>
    <row r="58">
      <c r="A58" s="59" t="s">
        <v>52</v>
      </c>
      <c r="B58" s="59" t="s">
        <v>1080</v>
      </c>
      <c r="C58" s="59" t="s">
        <v>1081</v>
      </c>
      <c r="D58" s="59" t="s">
        <v>1082</v>
      </c>
      <c r="E58" s="19" t="str">
        <f t="shared" si="1"/>
        <v>Jack Brzeznski</v>
      </c>
      <c r="F58" s="19" t="str">
        <f t="array" ref="F58">index(bydomain!F:F, match(A58, bydomain!A:A, 0))</f>
        <v>Deepal Deleena, Jacob Kavanal, Lakshmi Manasa Maddi, Mianzhi Hu, Vaidehi Karve, Victor Chen</v>
      </c>
    </row>
    <row r="59">
      <c r="A59" s="59" t="s">
        <v>336</v>
      </c>
      <c r="B59" s="59" t="s">
        <v>1085</v>
      </c>
      <c r="C59" s="59" t="s">
        <v>1086</v>
      </c>
      <c r="D59" s="59" t="s">
        <v>1087</v>
      </c>
      <c r="E59" s="19" t="str">
        <f t="shared" si="1"/>
        <v>Zhijian Liu</v>
      </c>
      <c r="F59" s="19" t="str">
        <f t="array" ref="F59">index(bydomain!F:F, match(A59, bydomain!A:A, 0))</f>
        <v>Alan Xia, Alexander Takamoto, Brian Liu, Edward Zhang, Issac Roy, Maggie Zhang, Philip Chen, Yash Tandon, Chentao Gong, Anirudh Annabathula</v>
      </c>
    </row>
    <row r="60">
      <c r="A60" s="59" t="s">
        <v>341</v>
      </c>
      <c r="B60" s="59" t="s">
        <v>1090</v>
      </c>
      <c r="C60" s="59" t="s">
        <v>1091</v>
      </c>
      <c r="D60" s="59" t="s">
        <v>1092</v>
      </c>
      <c r="E60" s="19" t="str">
        <f t="shared" si="1"/>
        <v>Arya Mazumdar</v>
      </c>
      <c r="F60" s="19" t="str">
        <f t="array" ref="F60">index(bydomain!F:F, match(A60, bydomain!A:A, 0))</f>
        <v>Abhinav Chinnam, Ganesh Kumarappan, Jayden Li, Kenji Gunawan, Nuraiym Mirbekova, Raffi Dulgerian, Rishvik Ravi, Aditya Kakarla</v>
      </c>
    </row>
    <row r="61">
      <c r="A61" s="59" t="s">
        <v>346</v>
      </c>
      <c r="B61" s="59" t="s">
        <v>1094</v>
      </c>
      <c r="C61" s="59" t="s">
        <v>1031</v>
      </c>
      <c r="D61" s="59" t="s">
        <v>1095</v>
      </c>
      <c r="E61" s="19" t="str">
        <f t="shared" si="1"/>
        <v>Jun-Kun Wang</v>
      </c>
      <c r="F61" s="19" t="str">
        <f t="array" ref="F61">index(bydomain!F:F, match(A61, bydomain!A:A, 0))</f>
        <v>Yaqub Mir, Willem De Haan, Gabriel Borjas-Perez, Jenny Xu</v>
      </c>
    </row>
    <row r="62">
      <c r="A62" s="59" t="s">
        <v>323</v>
      </c>
      <c r="B62" s="59" t="s">
        <v>1097</v>
      </c>
      <c r="C62" s="59" t="s">
        <v>1098</v>
      </c>
      <c r="D62" s="59" t="s">
        <v>1099</v>
      </c>
      <c r="E62" s="19" t="str">
        <f t="shared" si="1"/>
        <v>Peter Chi</v>
      </c>
      <c r="F62" s="19" t="str">
        <f t="array" ref="F62">index(bydomain!F:F, match(A62, bydomain!A:A, 0))</f>
        <v>Edmond Yang, Karina Zambani, Kyle Duong, Nithya Nair, Rose Park, Salina Tang, Waleed Alshakhshir, William Chou</v>
      </c>
    </row>
    <row r="63">
      <c r="A63" s="62" t="s">
        <v>60</v>
      </c>
      <c r="B63" s="62" t="s">
        <v>1100</v>
      </c>
      <c r="C63" s="62" t="s">
        <v>1101</v>
      </c>
      <c r="D63" s="62" t="s">
        <v>1103</v>
      </c>
      <c r="E63" s="19" t="str">
        <f t="shared" si="1"/>
        <v>Bijan Arbab</v>
      </c>
      <c r="F63" s="19" t="str">
        <f t="array" ref="F63">index(bydomain!F:F, match(A63, bydomain!A:A, 0))</f>
        <v>Adit Gautam, Alyxandrea Wikarsa, Andrew Kim, Calvin Truong, Cedric Jeng, Christian Kumagai, Faline Le, Kai Arizabal, Moniriddh Bunyay, Shant Guedekelian</v>
      </c>
    </row>
    <row r="64">
      <c r="A64" s="62" t="s">
        <v>60</v>
      </c>
      <c r="B64" s="62" t="s">
        <v>1106</v>
      </c>
      <c r="C64" s="62" t="s">
        <v>1107</v>
      </c>
      <c r="D64" s="62" t="s">
        <v>1108</v>
      </c>
      <c r="E64" s="19" t="str">
        <f t="shared" si="1"/>
        <v>Matt Endo</v>
      </c>
      <c r="F64" s="19" t="str">
        <f t="array" ref="F64">index(bydomain!F:F, match(A64, bydomain!A:A, 0))</f>
        <v>Adit Gautam, Alyxandrea Wikarsa, Andrew Kim, Calvin Truong, Cedric Jeng, Christian Kumagai, Faline Le, Kai Arizabal, Moniriddh Bunyay, Shant Guedekelian</v>
      </c>
    </row>
    <row r="65">
      <c r="A65" s="62" t="s">
        <v>60</v>
      </c>
      <c r="B65" s="62" t="s">
        <v>1110</v>
      </c>
      <c r="C65" s="62" t="s">
        <v>1111</v>
      </c>
      <c r="D65" s="62" t="s">
        <v>1112</v>
      </c>
      <c r="E65" s="19" t="str">
        <f t="shared" si="1"/>
        <v>Sara Agahi</v>
      </c>
      <c r="F65" s="19" t="str">
        <f t="array" ref="F65">index(bydomain!F:F, match(A65, bydomain!A:A, 0))</f>
        <v>Adit Gautam, Alyxandrea Wikarsa, Andrew Kim, Calvin Truong, Cedric Jeng, Christian Kumagai, Faline Le, Kai Arizabal, Moniriddh Bunyay, Shant Guedekelian</v>
      </c>
    </row>
    <row r="66">
      <c r="A66" s="62" t="s">
        <v>171</v>
      </c>
      <c r="B66" s="62" t="s">
        <v>1113</v>
      </c>
      <c r="C66" s="62" t="s">
        <v>1114</v>
      </c>
      <c r="D66" s="62" t="s">
        <v>1115</v>
      </c>
      <c r="E66" s="19" t="str">
        <f t="shared" si="1"/>
        <v>Reem Khojah</v>
      </c>
      <c r="F66" s="19" t="str">
        <f t="array" ref="F66">index(bydomain!F:F, match(A66, bydomain!A:A, 0))</f>
        <v>Amy Zhao, Eric Gan, Nicolas Toon, Ricki Chen</v>
      </c>
    </row>
    <row r="67">
      <c r="A67" s="62" t="s">
        <v>364</v>
      </c>
      <c r="B67" s="62" t="s">
        <v>1119</v>
      </c>
      <c r="C67" s="62" t="s">
        <v>1120</v>
      </c>
      <c r="D67" s="62" t="s">
        <v>1121</v>
      </c>
      <c r="E67" s="19" t="str">
        <f t="shared" si="1"/>
        <v>Robert Wilderman</v>
      </c>
      <c r="F67" s="19" t="str">
        <f t="array" ref="F67">index(bydomain!F:F, match(A67, bydomain!A:A, 0))</f>
        <v>Ansh Bhatnagar, Chang-Yu Lee, Jayden Huang, Jeronimo Adames-Baena, Mihir Vad, Shujia Chen, Sunny Sun, Varick Hasim</v>
      </c>
    </row>
    <row r="68">
      <c r="A68" s="64" t="s">
        <v>368</v>
      </c>
      <c r="B68" s="64" t="s">
        <v>1125</v>
      </c>
      <c r="C68" s="64" t="s">
        <v>1126</v>
      </c>
      <c r="D68" s="64" t="s">
        <v>1127</v>
      </c>
      <c r="E68" s="11" t="s">
        <v>415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26.0"/>
  </cols>
  <sheetData>
    <row r="1">
      <c r="A1" s="65" t="s">
        <v>1181</v>
      </c>
      <c r="B1" s="66"/>
      <c r="C1" s="66"/>
      <c r="D1" s="67"/>
      <c r="E1" s="65" t="s">
        <v>1187</v>
      </c>
      <c r="F1" s="66"/>
      <c r="G1" s="66"/>
      <c r="H1" s="67"/>
      <c r="I1" s="68"/>
      <c r="J1" s="68"/>
      <c r="K1" s="68"/>
      <c r="L1" s="68"/>
      <c r="M1" s="68"/>
      <c r="N1" s="68"/>
      <c r="O1" s="68"/>
      <c r="P1" s="68"/>
      <c r="Q1" s="68"/>
      <c r="R1" s="68"/>
      <c r="S1" s="68"/>
      <c r="T1" s="68"/>
      <c r="U1" s="68"/>
      <c r="V1" s="68"/>
      <c r="W1" s="68"/>
      <c r="X1" s="68"/>
      <c r="Y1" s="68"/>
    </row>
    <row r="2">
      <c r="A2" s="69"/>
      <c r="B2" s="68"/>
      <c r="C2" s="68"/>
      <c r="D2" s="68"/>
      <c r="E2" s="69"/>
      <c r="F2" s="68"/>
      <c r="G2" s="68"/>
      <c r="H2" s="70"/>
      <c r="I2" s="68"/>
      <c r="J2" s="68"/>
      <c r="K2" s="68"/>
      <c r="L2" s="68"/>
      <c r="M2" s="68"/>
      <c r="N2" s="68"/>
      <c r="O2" s="68"/>
      <c r="P2" s="68"/>
      <c r="Q2" s="68"/>
      <c r="R2" s="68"/>
      <c r="S2" s="68"/>
      <c r="T2" s="68"/>
      <c r="U2" s="68"/>
      <c r="V2" s="68"/>
      <c r="W2" s="68"/>
      <c r="X2" s="68"/>
      <c r="Y2" s="68"/>
    </row>
    <row r="3">
      <c r="A3" s="71" t="s">
        <v>71</v>
      </c>
      <c r="B3" s="72" t="str">
        <f t="array" ref="B3">index(mentors!A:A, match(A3, mentors!E:E, 0))</f>
        <v>D02</v>
      </c>
      <c r="C3" s="68"/>
      <c r="D3" s="73" t="s">
        <v>1200</v>
      </c>
      <c r="E3" s="74" t="s">
        <v>59</v>
      </c>
      <c r="F3" s="75" t="str">
        <f>E3</f>
        <v>D12</v>
      </c>
      <c r="G3" s="68"/>
      <c r="H3" s="73" t="s">
        <v>1200</v>
      </c>
      <c r="I3" s="68"/>
      <c r="J3" s="68"/>
      <c r="K3" s="68"/>
      <c r="L3" s="68"/>
      <c r="M3" s="68"/>
      <c r="N3" s="68"/>
      <c r="O3" s="68"/>
      <c r="P3" s="68"/>
      <c r="Q3" s="68"/>
      <c r="R3" s="68"/>
      <c r="S3" s="68"/>
      <c r="T3" s="68"/>
      <c r="U3" s="68"/>
      <c r="V3" s="68"/>
      <c r="W3" s="68"/>
      <c r="X3" s="68"/>
      <c r="Y3" s="68"/>
    </row>
    <row r="4">
      <c r="A4" s="69"/>
      <c r="B4" s="68"/>
      <c r="C4" s="68"/>
      <c r="D4" s="68"/>
      <c r="E4" s="69"/>
      <c r="F4" s="68"/>
      <c r="G4" s="68"/>
      <c r="H4" s="70"/>
      <c r="I4" s="68"/>
      <c r="J4" s="68"/>
      <c r="K4" s="68"/>
      <c r="L4" s="68"/>
      <c r="M4" s="68"/>
      <c r="N4" s="68"/>
      <c r="O4" s="68"/>
      <c r="P4" s="68"/>
      <c r="Q4" s="68"/>
      <c r="R4" s="68"/>
      <c r="S4" s="68"/>
      <c r="T4" s="68"/>
      <c r="U4" s="68"/>
      <c r="V4" s="68"/>
      <c r="W4" s="68"/>
      <c r="X4" s="68"/>
      <c r="Y4" s="68"/>
    </row>
    <row r="5">
      <c r="A5" s="76" t="str">
        <f>IFERROR(__xludf.DUMMYFUNCTION("IF(OR(A3="""",A3=""Full Name""), ""Please select a mentor."", FILTER(bystudent!B:D , bystudent!E:E = B3))"),"#REF!")</f>
        <v>#REF!</v>
      </c>
      <c r="B5" s="77"/>
      <c r="C5" s="77"/>
      <c r="D5" s="78" t="str">
        <f>IFERROR(__xludf.DUMMYFUNCTION("IF(OR(A3="""",A3=""Domain ID""), ""Please select a Domain."", FILTER(mentors!E:E ,mentors!A:A = B3))"),"Aobo Li")</f>
        <v>Aobo Li</v>
      </c>
      <c r="E5" s="79">
        <f>IFERROR(__xludf.DUMMYFUNCTION("IF(OR(E3="""",E3=""Domain ID""), ""Please select a Domain."", FILTER(bystudent!B:D ,bystudent!E:E = F3))"),2.00173831E8)</f>
        <v>200173831</v>
      </c>
      <c r="F5" s="80" t="str">
        <f>IFERROR(__xludf.DUMMYFUNCTION("""COMPUTED_VALUE"""),"Song Su")</f>
        <v>Song Su</v>
      </c>
      <c r="G5" s="80" t="str">
        <f>IFERROR(__xludf.DUMMYFUNCTION("""COMPUTED_VALUE"""),"sosu@ucsd.edu")</f>
        <v>sosu@ucsd.edu</v>
      </c>
      <c r="H5" s="78" t="str">
        <f>IFERROR(__xludf.DUMMYFUNCTION("IF(OR(E3="""",E3=""Domain ID""), ""Please select a Domain."", FILTER(mentors!E:E ,mentors!A:A = F3))"),"Kyle Nero")</f>
        <v>Kyle Nero</v>
      </c>
      <c r="I5" s="68"/>
      <c r="J5" s="68"/>
      <c r="K5" s="68"/>
      <c r="L5" s="68"/>
      <c r="M5" s="68"/>
      <c r="N5" s="68"/>
      <c r="O5" s="68"/>
      <c r="P5" s="68"/>
      <c r="Q5" s="68"/>
      <c r="R5" s="68"/>
      <c r="S5" s="68"/>
      <c r="T5" s="68"/>
      <c r="U5" s="68"/>
      <c r="V5" s="68"/>
      <c r="W5" s="68"/>
      <c r="X5" s="68"/>
      <c r="Y5" s="68"/>
    </row>
    <row r="6">
      <c r="A6" s="76"/>
      <c r="B6" s="77"/>
      <c r="C6" s="77"/>
      <c r="D6" s="81"/>
      <c r="E6" s="79">
        <f>IFERROR(__xludf.DUMMYFUNCTION("""COMPUTED_VALUE"""),2.00144405E8)</f>
        <v>200144405</v>
      </c>
      <c r="F6" s="80" t="str">
        <f>IFERROR(__xludf.DUMMYFUNCTION("""COMPUTED_VALUE"""),"Steven Ouyang")</f>
        <v>Steven Ouyang</v>
      </c>
      <c r="G6" s="80" t="str">
        <f>IFERROR(__xludf.DUMMYFUNCTION("""COMPUTED_VALUE"""),"houyang@ucsd.edu")</f>
        <v>houyang@ucsd.edu</v>
      </c>
      <c r="H6" s="78" t="str">
        <f>IFERROR(__xludf.DUMMYFUNCTION("""COMPUTED_VALUE"""),"Daniel Mathew")</f>
        <v>Daniel Mathew</v>
      </c>
      <c r="I6" s="68"/>
      <c r="J6" s="68"/>
      <c r="K6" s="68"/>
      <c r="L6" s="68"/>
      <c r="M6" s="68"/>
      <c r="N6" s="68"/>
      <c r="O6" s="68"/>
      <c r="P6" s="68"/>
      <c r="Q6" s="68"/>
      <c r="R6" s="68"/>
      <c r="S6" s="68"/>
      <c r="T6" s="68"/>
      <c r="U6" s="68"/>
      <c r="V6" s="68"/>
      <c r="W6" s="68"/>
      <c r="X6" s="68"/>
      <c r="Y6" s="68"/>
    </row>
    <row r="7">
      <c r="A7" s="76"/>
      <c r="B7" s="77"/>
      <c r="C7" s="77"/>
      <c r="D7" s="81"/>
      <c r="E7" s="79">
        <f>IFERROR(__xludf.DUMMYFUNCTION("""COMPUTED_VALUE"""),2.00114926E8)</f>
        <v>200114926</v>
      </c>
      <c r="F7" s="80" t="str">
        <f>IFERROR(__xludf.DUMMYFUNCTION("""COMPUTED_VALUE"""),"Vanessa Feng")</f>
        <v>Vanessa Feng</v>
      </c>
      <c r="G7" s="80" t="str">
        <f>IFERROR(__xludf.DUMMYFUNCTION("""COMPUTED_VALUE"""),"l6feng@ucsd.edu")</f>
        <v>l6feng@ucsd.edu</v>
      </c>
      <c r="H7" s="78" t="str">
        <f>IFERROR(__xludf.DUMMYFUNCTION("""COMPUTED_VALUE"""),"Berk Ustun")</f>
        <v>Berk Ustun</v>
      </c>
      <c r="I7" s="68"/>
      <c r="J7" s="68"/>
      <c r="K7" s="68"/>
      <c r="L7" s="68"/>
      <c r="M7" s="68"/>
      <c r="N7" s="68"/>
      <c r="O7" s="68"/>
      <c r="P7" s="68"/>
      <c r="Q7" s="68"/>
      <c r="R7" s="68"/>
      <c r="S7" s="68"/>
      <c r="T7" s="68"/>
      <c r="U7" s="68"/>
      <c r="V7" s="68"/>
      <c r="W7" s="68"/>
      <c r="X7" s="68"/>
      <c r="Y7" s="68"/>
    </row>
    <row r="8">
      <c r="A8" s="76"/>
      <c r="B8" s="77"/>
      <c r="C8" s="82"/>
      <c r="D8" s="81"/>
      <c r="E8" s="79">
        <f>IFERROR(__xludf.DUMMYFUNCTION("""COMPUTED_VALUE"""),2.00293399E8)</f>
        <v>200293399</v>
      </c>
      <c r="F8" s="80" t="str">
        <f>IFERROR(__xludf.DUMMYFUNCTION("""COMPUTED_VALUE"""),"Michael Petersen")</f>
        <v>Michael Petersen</v>
      </c>
      <c r="G8" s="80" t="str">
        <f>IFERROR(__xludf.DUMMYFUNCTION("""COMPUTED_VALUE"""),"m1petersen@ucsd.edu")</f>
        <v>m1petersen@ucsd.edu</v>
      </c>
      <c r="H8" s="78"/>
      <c r="I8" s="68"/>
      <c r="J8" s="68"/>
      <c r="K8" s="68"/>
      <c r="L8" s="68"/>
      <c r="M8" s="68"/>
      <c r="N8" s="68"/>
      <c r="O8" s="68"/>
      <c r="P8" s="68"/>
      <c r="Q8" s="68"/>
      <c r="R8" s="68"/>
      <c r="S8" s="68"/>
      <c r="T8" s="68"/>
      <c r="U8" s="68"/>
      <c r="V8" s="68"/>
      <c r="W8" s="68"/>
      <c r="X8" s="68"/>
      <c r="Y8" s="68"/>
    </row>
    <row r="9">
      <c r="A9" s="76"/>
      <c r="B9" s="77"/>
      <c r="C9" s="82" t="s">
        <v>1227</v>
      </c>
      <c r="D9" s="81"/>
      <c r="E9" s="79">
        <f>IFERROR(__xludf.DUMMYFUNCTION("""COMPUTED_VALUE"""),2.00175198E8)</f>
        <v>200175198</v>
      </c>
      <c r="F9" s="80" t="str">
        <f>IFERROR(__xludf.DUMMYFUNCTION("""COMPUTED_VALUE"""),"Ishaan Tibdewal")</f>
        <v>Ishaan Tibdewal</v>
      </c>
      <c r="G9" s="80" t="str">
        <f>IFERROR(__xludf.DUMMYFUNCTION("""COMPUTED_VALUE"""),"itibdewal@ucsd.edu")</f>
        <v>itibdewal@ucsd.edu</v>
      </c>
      <c r="H9" s="78"/>
      <c r="I9" s="68"/>
      <c r="J9" s="68"/>
      <c r="K9" s="68"/>
      <c r="L9" s="68"/>
      <c r="M9" s="68"/>
      <c r="N9" s="68"/>
      <c r="O9" s="68"/>
      <c r="P9" s="68"/>
      <c r="Q9" s="68"/>
      <c r="R9" s="68"/>
      <c r="S9" s="68"/>
      <c r="T9" s="68"/>
      <c r="U9" s="68"/>
      <c r="V9" s="68"/>
      <c r="W9" s="68"/>
      <c r="X9" s="68"/>
      <c r="Y9" s="68"/>
    </row>
    <row r="10">
      <c r="A10" s="76"/>
      <c r="B10" s="77"/>
      <c r="C10" s="77"/>
      <c r="D10" s="81"/>
      <c r="E10" s="79">
        <f>IFERROR(__xludf.DUMMYFUNCTION("""COMPUTED_VALUE"""),2.00166599E8)</f>
        <v>200166599</v>
      </c>
      <c r="F10" s="80" t="str">
        <f>IFERROR(__xludf.DUMMYFUNCTION("""COMPUTED_VALUE"""),"Katie Hannigan")</f>
        <v>Katie Hannigan</v>
      </c>
      <c r="G10" s="80" t="str">
        <f>IFERROR(__xludf.DUMMYFUNCTION("""COMPUTED_VALUE"""),"khannigan@ucsd.edu")</f>
        <v>khannigan@ucsd.edu</v>
      </c>
      <c r="H10" s="78"/>
      <c r="I10" s="68"/>
      <c r="J10" s="68"/>
      <c r="K10" s="68"/>
      <c r="L10" s="68"/>
      <c r="M10" s="68"/>
      <c r="N10" s="68"/>
      <c r="O10" s="68"/>
      <c r="P10" s="68"/>
      <c r="Q10" s="68"/>
      <c r="R10" s="68"/>
      <c r="S10" s="68"/>
      <c r="T10" s="68"/>
      <c r="U10" s="68"/>
      <c r="V10" s="68"/>
      <c r="W10" s="68"/>
      <c r="X10" s="68"/>
      <c r="Y10" s="68"/>
    </row>
    <row r="11">
      <c r="A11" s="76"/>
      <c r="B11" s="77"/>
      <c r="C11" s="77"/>
      <c r="D11" s="77"/>
      <c r="E11" s="79">
        <f>IFERROR(__xludf.DUMMYFUNCTION("""COMPUTED_VALUE"""),2.00167956E8)</f>
        <v>200167956</v>
      </c>
      <c r="F11" s="80" t="str">
        <f>IFERROR(__xludf.DUMMYFUNCTION("""COMPUTED_VALUE"""),"Aiden Lai")</f>
        <v>Aiden Lai</v>
      </c>
      <c r="G11" s="80" t="str">
        <f>IFERROR(__xludf.DUMMYFUNCTION("""COMPUTED_VALUE"""),"ailai@ucsd.edu")</f>
        <v>ailai@ucsd.edu</v>
      </c>
      <c r="H11" s="78"/>
      <c r="I11" s="68"/>
      <c r="J11" s="68"/>
      <c r="K11" s="68"/>
      <c r="L11" s="68"/>
      <c r="M11" s="68"/>
      <c r="N11" s="68"/>
      <c r="O11" s="68"/>
      <c r="P11" s="68"/>
      <c r="Q11" s="68"/>
      <c r="R11" s="68"/>
      <c r="S11" s="68"/>
      <c r="T11" s="68"/>
      <c r="U11" s="68"/>
      <c r="V11" s="68"/>
      <c r="W11" s="68"/>
      <c r="X11" s="68"/>
      <c r="Y11" s="68"/>
    </row>
    <row r="12">
      <c r="A12" s="76"/>
      <c r="B12" s="77"/>
      <c r="C12" s="77"/>
      <c r="D12" s="77"/>
      <c r="E12" s="79">
        <f>IFERROR(__xludf.DUMMYFUNCTION("""COMPUTED_VALUE"""),2.00145085E8)</f>
        <v>200145085</v>
      </c>
      <c r="F12" s="80" t="str">
        <f>IFERROR(__xludf.DUMMYFUNCTION("""COMPUTED_VALUE"""),"Sam Ouyang")</f>
        <v>Sam Ouyang</v>
      </c>
      <c r="G12" s="80" t="str">
        <f>IFERROR(__xludf.DUMMYFUNCTION("""COMPUTED_VALUE"""),"saouyang@ucsd.edu")</f>
        <v>saouyang@ucsd.edu</v>
      </c>
      <c r="H12" s="83"/>
      <c r="I12" s="68"/>
      <c r="J12" s="68"/>
      <c r="K12" s="68"/>
      <c r="L12" s="68"/>
      <c r="M12" s="68"/>
      <c r="N12" s="68"/>
      <c r="O12" s="68"/>
      <c r="P12" s="68"/>
      <c r="Q12" s="68"/>
      <c r="R12" s="68"/>
      <c r="S12" s="68"/>
      <c r="T12" s="68"/>
      <c r="U12" s="68"/>
      <c r="V12" s="68"/>
      <c r="W12" s="68"/>
      <c r="X12" s="68"/>
      <c r="Y12" s="68"/>
    </row>
    <row r="13">
      <c r="A13" s="76"/>
      <c r="B13" s="77"/>
      <c r="C13" s="77"/>
      <c r="D13" s="77"/>
      <c r="E13" s="79">
        <f>IFERROR(__xludf.DUMMYFUNCTION("""COMPUTED_VALUE"""),2.00134986E8)</f>
        <v>200134986</v>
      </c>
      <c r="F13" s="80" t="str">
        <f>IFERROR(__xludf.DUMMYFUNCTION("""COMPUTED_VALUE"""),"Huiyu Yie")</f>
        <v>Huiyu Yie</v>
      </c>
      <c r="G13" s="80" t="str">
        <f>IFERROR(__xludf.DUMMYFUNCTION("""COMPUTED_VALUE"""),"huyie@ucsd.edu")</f>
        <v>huyie@ucsd.edu</v>
      </c>
      <c r="H13" s="83"/>
      <c r="I13" s="68"/>
      <c r="J13" s="68"/>
      <c r="K13" s="68"/>
      <c r="L13" s="68"/>
      <c r="M13" s="68"/>
      <c r="N13" s="68"/>
      <c r="O13" s="68"/>
      <c r="P13" s="68"/>
      <c r="Q13" s="68"/>
      <c r="R13" s="68"/>
      <c r="S13" s="68"/>
      <c r="T13" s="68"/>
      <c r="U13" s="68"/>
      <c r="V13" s="68"/>
      <c r="W13" s="68"/>
      <c r="X13" s="68"/>
      <c r="Y13" s="68"/>
    </row>
    <row r="14">
      <c r="A14" s="76"/>
      <c r="B14" s="77"/>
      <c r="C14" s="77"/>
      <c r="D14" s="77"/>
      <c r="E14" s="79">
        <f>IFERROR(__xludf.DUMMYFUNCTION("""COMPUTED_VALUE"""),2.00116919E8)</f>
        <v>200116919</v>
      </c>
      <c r="F14" s="80" t="str">
        <f>IFERROR(__xludf.DUMMYFUNCTION("""COMPUTED_VALUE"""),"Zilig Xu")</f>
        <v>Zilig Xu</v>
      </c>
      <c r="G14" s="80" t="str">
        <f>IFERROR(__xludf.DUMMYFUNCTION("""COMPUTED_VALUE"""),"zix021@ucsd.edu")</f>
        <v>zix021@ucsd.edu</v>
      </c>
      <c r="H14" s="83"/>
      <c r="I14" s="68"/>
      <c r="J14" s="68"/>
      <c r="K14" s="68"/>
      <c r="L14" s="68"/>
      <c r="M14" s="68"/>
      <c r="N14" s="68"/>
      <c r="O14" s="68"/>
      <c r="P14" s="68"/>
      <c r="Q14" s="68"/>
      <c r="R14" s="68"/>
      <c r="S14" s="68"/>
      <c r="T14" s="68"/>
      <c r="U14" s="68"/>
      <c r="V14" s="68"/>
      <c r="W14" s="68"/>
      <c r="X14" s="68"/>
      <c r="Y14" s="68"/>
    </row>
    <row r="15">
      <c r="A15" s="84"/>
      <c r="B15" s="77"/>
      <c r="C15" s="77"/>
      <c r="D15" s="77"/>
      <c r="E15" s="79">
        <f>IFERROR(__xludf.DUMMYFUNCTION("""COMPUTED_VALUE"""),2.00071579E8)</f>
        <v>200071579</v>
      </c>
      <c r="F15" s="80" t="str">
        <f>IFERROR(__xludf.DUMMYFUNCTION("""COMPUTED_VALUE"""),"Jack Ding")</f>
        <v>Jack Ding</v>
      </c>
      <c r="G15" s="80" t="str">
        <f>IFERROR(__xludf.DUMMYFUNCTION("""COMPUTED_VALUE"""),"jading@ucsd.edu")</f>
        <v>jading@ucsd.edu</v>
      </c>
      <c r="H15" s="83"/>
      <c r="I15" s="68"/>
      <c r="J15" s="68"/>
      <c r="K15" s="68"/>
      <c r="L15" s="68"/>
      <c r="M15" s="68"/>
      <c r="N15" s="68"/>
      <c r="O15" s="68"/>
      <c r="P15" s="68"/>
      <c r="Q15" s="68"/>
      <c r="R15" s="68"/>
      <c r="S15" s="68"/>
      <c r="T15" s="68"/>
      <c r="U15" s="68"/>
      <c r="V15" s="68"/>
      <c r="W15" s="68"/>
      <c r="X15" s="68"/>
      <c r="Y15" s="68"/>
    </row>
    <row r="16">
      <c r="A16" s="76"/>
      <c r="B16" s="77"/>
      <c r="C16" s="77"/>
      <c r="D16" s="77"/>
      <c r="E16" s="79">
        <f>IFERROR(__xludf.DUMMYFUNCTION("""COMPUTED_VALUE"""),2.00049942E8)</f>
        <v>200049942</v>
      </c>
      <c r="F16" s="80" t="str">
        <f>IFERROR(__xludf.DUMMYFUNCTION("""COMPUTED_VALUE"""),"Liuxuhong Zhao")</f>
        <v>Liuxuhong Zhao</v>
      </c>
      <c r="G16" s="80" t="str">
        <f>IFERROR(__xludf.DUMMYFUNCTION("""COMPUTED_VALUE"""),"liz066@ucsd.edu")</f>
        <v>liz066@ucsd.edu</v>
      </c>
      <c r="H16" s="83"/>
      <c r="I16" s="68"/>
      <c r="J16" s="68"/>
      <c r="K16" s="68"/>
      <c r="L16" s="68"/>
      <c r="M16" s="68"/>
      <c r="N16" s="68"/>
      <c r="O16" s="68"/>
      <c r="P16" s="68"/>
      <c r="Q16" s="68"/>
      <c r="R16" s="68"/>
      <c r="S16" s="68"/>
      <c r="T16" s="68"/>
      <c r="U16" s="68"/>
      <c r="V16" s="68"/>
      <c r="W16" s="68"/>
      <c r="X16" s="68"/>
      <c r="Y16" s="68"/>
    </row>
    <row r="17">
      <c r="A17" s="76"/>
      <c r="B17" s="77"/>
      <c r="C17" s="77"/>
      <c r="D17" s="77"/>
      <c r="E17" s="79"/>
      <c r="F17" s="80"/>
      <c r="G17" s="80"/>
      <c r="H17" s="83"/>
      <c r="I17" s="68"/>
      <c r="J17" s="68"/>
      <c r="K17" s="68"/>
      <c r="L17" s="68"/>
      <c r="M17" s="68"/>
      <c r="N17" s="68"/>
      <c r="O17" s="68"/>
      <c r="P17" s="68"/>
      <c r="Q17" s="68"/>
      <c r="R17" s="68"/>
      <c r="S17" s="68"/>
      <c r="T17" s="68"/>
      <c r="U17" s="68"/>
      <c r="V17" s="68"/>
      <c r="W17" s="68"/>
      <c r="X17" s="68"/>
      <c r="Y17" s="68"/>
    </row>
    <row r="18">
      <c r="A18" s="76"/>
      <c r="B18" s="77"/>
      <c r="C18" s="77"/>
      <c r="D18" s="77"/>
      <c r="E18" s="79"/>
      <c r="F18" s="80"/>
      <c r="G18" s="80"/>
      <c r="H18" s="85"/>
      <c r="I18" s="68"/>
      <c r="J18" s="68"/>
      <c r="K18" s="68"/>
      <c r="L18" s="68"/>
      <c r="M18" s="68"/>
      <c r="N18" s="68"/>
      <c r="O18" s="68"/>
      <c r="P18" s="68"/>
      <c r="Q18" s="68"/>
      <c r="R18" s="68"/>
      <c r="S18" s="68"/>
      <c r="T18" s="68"/>
      <c r="U18" s="68"/>
      <c r="V18" s="68"/>
      <c r="W18" s="68"/>
      <c r="X18" s="68"/>
      <c r="Y18" s="68"/>
    </row>
    <row r="19">
      <c r="A19" s="76"/>
      <c r="B19" s="77"/>
      <c r="C19" s="77"/>
      <c r="D19" s="77"/>
      <c r="E19" s="79"/>
      <c r="F19" s="80"/>
      <c r="G19" s="80"/>
      <c r="H19" s="70"/>
      <c r="I19" s="68"/>
      <c r="J19" s="68"/>
      <c r="K19" s="68"/>
      <c r="L19" s="68"/>
      <c r="M19" s="68"/>
      <c r="N19" s="68"/>
      <c r="O19" s="68"/>
      <c r="P19" s="68"/>
      <c r="Q19" s="68"/>
      <c r="R19" s="68"/>
      <c r="S19" s="68"/>
      <c r="T19" s="68"/>
      <c r="U19" s="68"/>
      <c r="V19" s="68"/>
      <c r="W19" s="68"/>
      <c r="X19" s="68"/>
      <c r="Y19" s="68"/>
    </row>
    <row r="20">
      <c r="A20" s="76"/>
      <c r="B20" s="77"/>
      <c r="C20" s="77"/>
      <c r="D20" s="77"/>
      <c r="E20" s="79"/>
      <c r="F20" s="80"/>
      <c r="G20" s="80"/>
      <c r="H20" s="70"/>
      <c r="I20" s="68"/>
      <c r="J20" s="68"/>
      <c r="K20" s="68"/>
      <c r="L20" s="68"/>
      <c r="M20" s="68"/>
      <c r="N20" s="68"/>
      <c r="O20" s="68"/>
      <c r="P20" s="68"/>
      <c r="Q20" s="68"/>
      <c r="R20" s="68"/>
      <c r="S20" s="68"/>
      <c r="T20" s="68"/>
      <c r="U20" s="68"/>
      <c r="V20" s="68"/>
      <c r="W20" s="68"/>
      <c r="X20" s="68"/>
      <c r="Y20" s="68"/>
    </row>
    <row r="21">
      <c r="A21" s="76"/>
      <c r="B21" s="77"/>
      <c r="C21" s="77"/>
      <c r="D21" s="77"/>
      <c r="E21" s="79"/>
      <c r="F21" s="80"/>
      <c r="G21" s="80"/>
      <c r="H21" s="70"/>
      <c r="I21" s="68"/>
      <c r="J21" s="68"/>
      <c r="K21" s="68"/>
      <c r="L21" s="68"/>
      <c r="M21" s="68"/>
      <c r="N21" s="68"/>
      <c r="O21" s="68"/>
      <c r="P21" s="68"/>
      <c r="Q21" s="68"/>
      <c r="R21" s="68"/>
      <c r="S21" s="68"/>
      <c r="T21" s="68"/>
      <c r="U21" s="68"/>
      <c r="V21" s="68"/>
      <c r="W21" s="68"/>
      <c r="X21" s="68"/>
      <c r="Y21" s="68"/>
    </row>
    <row r="22">
      <c r="A22" s="76"/>
      <c r="B22" s="77"/>
      <c r="C22" s="77"/>
      <c r="D22" s="77"/>
      <c r="E22" s="79"/>
      <c r="F22" s="80"/>
      <c r="G22" s="80"/>
      <c r="H22" s="70"/>
      <c r="I22" s="68"/>
      <c r="J22" s="68"/>
      <c r="K22" s="68"/>
      <c r="L22" s="68"/>
      <c r="M22" s="68"/>
      <c r="N22" s="68"/>
      <c r="O22" s="68"/>
      <c r="P22" s="68"/>
      <c r="Q22" s="68"/>
      <c r="R22" s="68"/>
      <c r="S22" s="68"/>
      <c r="T22" s="68"/>
      <c r="U22" s="68"/>
      <c r="V22" s="68"/>
      <c r="W22" s="68"/>
      <c r="X22" s="68"/>
      <c r="Y22" s="68"/>
    </row>
    <row r="23">
      <c r="A23" s="76"/>
      <c r="B23" s="77"/>
      <c r="C23" s="77"/>
      <c r="D23" s="77"/>
      <c r="E23" s="79"/>
      <c r="F23" s="80"/>
      <c r="G23" s="80"/>
      <c r="H23" s="70"/>
      <c r="I23" s="68"/>
      <c r="J23" s="68"/>
      <c r="K23" s="68"/>
      <c r="L23" s="68"/>
      <c r="M23" s="68"/>
      <c r="N23" s="68"/>
      <c r="O23" s="68"/>
      <c r="P23" s="68"/>
      <c r="Q23" s="68"/>
      <c r="R23" s="68"/>
      <c r="S23" s="68"/>
      <c r="T23" s="68"/>
      <c r="U23" s="68"/>
      <c r="V23" s="68"/>
      <c r="W23" s="68"/>
      <c r="X23" s="68"/>
      <c r="Y23" s="68"/>
    </row>
    <row r="24">
      <c r="A24" s="76"/>
      <c r="B24" s="77"/>
      <c r="C24" s="77"/>
      <c r="D24" s="77"/>
      <c r="E24" s="79"/>
      <c r="F24" s="80"/>
      <c r="G24" s="80"/>
      <c r="H24" s="70"/>
      <c r="I24" s="68"/>
      <c r="J24" s="68"/>
      <c r="K24" s="68"/>
      <c r="L24" s="68"/>
      <c r="M24" s="68"/>
      <c r="N24" s="68"/>
      <c r="O24" s="68"/>
      <c r="P24" s="68"/>
      <c r="Q24" s="68"/>
      <c r="R24" s="68"/>
      <c r="S24" s="68"/>
      <c r="T24" s="68"/>
      <c r="U24" s="68"/>
      <c r="V24" s="68"/>
      <c r="W24" s="68"/>
      <c r="X24" s="68"/>
      <c r="Y24" s="68"/>
    </row>
    <row r="25">
      <c r="A25" s="76"/>
      <c r="B25" s="77"/>
      <c r="C25" s="77"/>
      <c r="D25" s="77"/>
      <c r="E25" s="79"/>
      <c r="F25" s="80"/>
      <c r="G25" s="80"/>
      <c r="H25" s="70"/>
      <c r="I25" s="68"/>
      <c r="J25" s="68"/>
      <c r="K25" s="68"/>
      <c r="L25" s="68"/>
      <c r="M25" s="68"/>
      <c r="N25" s="68"/>
      <c r="O25" s="68"/>
      <c r="P25" s="68"/>
      <c r="Q25" s="68"/>
      <c r="R25" s="68"/>
      <c r="S25" s="68"/>
      <c r="T25" s="68"/>
      <c r="U25" s="68"/>
      <c r="V25" s="68"/>
      <c r="W25" s="68"/>
      <c r="X25" s="68"/>
      <c r="Y25" s="68"/>
    </row>
    <row r="26">
      <c r="A26" s="76"/>
      <c r="B26" s="77"/>
      <c r="C26" s="77"/>
      <c r="D26" s="77"/>
      <c r="E26" s="69"/>
      <c r="F26" s="68"/>
      <c r="G26" s="68"/>
      <c r="H26" s="70"/>
      <c r="I26" s="68"/>
      <c r="J26" s="68"/>
      <c r="K26" s="68"/>
      <c r="L26" s="68"/>
      <c r="M26" s="68"/>
      <c r="N26" s="68"/>
      <c r="O26" s="68"/>
      <c r="P26" s="68"/>
      <c r="Q26" s="68"/>
      <c r="R26" s="68"/>
      <c r="S26" s="68"/>
      <c r="T26" s="68"/>
      <c r="U26" s="68"/>
      <c r="V26" s="68"/>
      <c r="W26" s="68"/>
      <c r="X26" s="68"/>
      <c r="Y26" s="68"/>
    </row>
    <row r="27">
      <c r="A27" s="76"/>
      <c r="B27" s="77"/>
      <c r="C27" s="77"/>
      <c r="D27" s="77"/>
      <c r="E27" s="69"/>
      <c r="F27" s="68"/>
      <c r="G27" s="68"/>
      <c r="H27" s="70"/>
      <c r="I27" s="68"/>
      <c r="J27" s="68"/>
      <c r="K27" s="68"/>
      <c r="L27" s="68"/>
      <c r="M27" s="68"/>
      <c r="N27" s="68"/>
      <c r="O27" s="68"/>
      <c r="P27" s="68"/>
      <c r="Q27" s="68"/>
      <c r="R27" s="68"/>
      <c r="S27" s="68"/>
      <c r="T27" s="68"/>
      <c r="U27" s="68"/>
      <c r="V27" s="68"/>
      <c r="W27" s="68"/>
      <c r="X27" s="68"/>
      <c r="Y27" s="68"/>
    </row>
    <row r="28">
      <c r="A28" s="86"/>
      <c r="B28" s="87"/>
      <c r="C28" s="87"/>
      <c r="D28" s="87"/>
      <c r="E28" s="88"/>
      <c r="F28" s="89"/>
      <c r="G28" s="89"/>
      <c r="H28" s="90"/>
      <c r="I28" s="68"/>
      <c r="J28" s="68"/>
      <c r="K28" s="68"/>
      <c r="L28" s="68"/>
      <c r="M28" s="68"/>
      <c r="N28" s="68"/>
      <c r="O28" s="68"/>
      <c r="P28" s="68"/>
      <c r="Q28" s="68"/>
      <c r="R28" s="68"/>
      <c r="S28" s="68"/>
      <c r="T28" s="68"/>
      <c r="U28" s="68"/>
      <c r="V28" s="68"/>
      <c r="W28" s="68"/>
      <c r="X28" s="68"/>
      <c r="Y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row>
  </sheetData>
  <mergeCells count="2">
    <mergeCell ref="A1:D1"/>
    <mergeCell ref="E1:H1"/>
  </mergeCells>
  <dataValidations>
    <dataValidation type="list" allowBlank="1" showErrorMessage="1" sqref="E3">
      <formula1>bydomain!$A:$A</formula1>
    </dataValidation>
    <dataValidation type="list" allowBlank="1" showErrorMessage="1" sqref="A3">
      <formula1>"Alex Warstadt,Ali Arsanjani,Aobo Li,Armin Schwartzman,Arya Mazumdar,Babak Salimi,Ben Smarr,Berk Ustun,Bijan Arbab,Biwei Huang,Bradley Voytek,Brian Chin,Daniel Mathew,Dhruvi Kothari,Duncan Watson-Parris,Dusan Bosnjakovic,Emily Aiken,Emily Belli,Falko Kuest"&amp;"er,Gabriel Andres Garzo,Haojian Jin,Igor Sfiligoi,Igor Sfiligoi,Ilyes Meftah,Jack Brzeznski,Jeff Candy,Jingbo Shang,Jun-Kun Wang,Justin Eldridge,Justin Murphy,Kyle Nero,Lawrence Vulis,Lily Weng,Madison Hughes,Manny Ruidiaz,Mark Dixon,Matt Endo,Michael Dei"&amp;"sher,Mikio Aoi,Misha Belkin,Nathan Hui,Neal Driscoll,Nicholas Boechler,Perez Ogayo,Peter Chi,Rajeev Chhajer,Rajesh Gupta,Rayan Saab,Reem Khojah,Renu Raman,Renu Raman,Rob Knight,Robert Wilderman,Ryan Lingo,Sara Agahi,Soohyun Liao,Stuart Geiger,Sylvia Downi"&amp;"ng,Tauhidur Rahman,Tianhao Wang,Tiffany Amariuta,Victor Calderon,Victor Minces,Vikram Joshi,Yoav Freund,Yusu Wang,Zhijian Liu"</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7.0"/>
  </cols>
  <sheetData>
    <row r="1">
      <c r="A1" s="92" t="s">
        <v>0</v>
      </c>
      <c r="B1" s="92" t="s">
        <v>4</v>
      </c>
      <c r="C1" s="92" t="s">
        <v>5</v>
      </c>
      <c r="D1" s="92" t="s">
        <v>2</v>
      </c>
      <c r="E1" s="92" t="s">
        <v>1447</v>
      </c>
    </row>
    <row r="2">
      <c r="A2" s="93" t="s">
        <v>1448</v>
      </c>
      <c r="B2" s="93" t="s">
        <v>1449</v>
      </c>
      <c r="C2" s="93" t="s">
        <v>1450</v>
      </c>
      <c r="D2" s="94" t="str">
        <f t="shared" ref="D2:D315" si="1">IFERROR(VLOOKUP(C2,TSN,2,FALSE),"None")</f>
        <v>None</v>
      </c>
      <c r="E2" s="95">
        <v>2.00016088E8</v>
      </c>
    </row>
    <row r="3">
      <c r="A3" s="93" t="s">
        <v>1418</v>
      </c>
      <c r="B3" s="93" t="s">
        <v>1419</v>
      </c>
      <c r="C3" s="93" t="s">
        <v>1417</v>
      </c>
      <c r="D3" s="94" t="str">
        <f t="shared" si="1"/>
        <v>None</v>
      </c>
      <c r="E3" s="95">
        <v>2.00020274E8</v>
      </c>
    </row>
    <row r="4">
      <c r="A4" s="93" t="s">
        <v>135</v>
      </c>
      <c r="B4" s="93" t="s">
        <v>1456</v>
      </c>
      <c r="C4" s="93" t="s">
        <v>1457</v>
      </c>
      <c r="D4" s="94" t="str">
        <f t="shared" si="1"/>
        <v>None</v>
      </c>
      <c r="E4" s="95">
        <v>2.00020279E8</v>
      </c>
    </row>
    <row r="5">
      <c r="A5" s="96" t="s">
        <v>361</v>
      </c>
      <c r="B5" s="96" t="s">
        <v>367</v>
      </c>
      <c r="C5" s="96" t="s">
        <v>369</v>
      </c>
      <c r="D5" s="94" t="str">
        <f t="shared" si="1"/>
        <v>None</v>
      </c>
      <c r="E5" s="95">
        <v>2.00021549E8</v>
      </c>
    </row>
    <row r="6">
      <c r="A6" s="93" t="s">
        <v>1414</v>
      </c>
      <c r="B6" s="93" t="s">
        <v>1415</v>
      </c>
      <c r="C6" s="93" t="s">
        <v>1413</v>
      </c>
      <c r="D6" s="94" t="str">
        <f t="shared" si="1"/>
        <v>None</v>
      </c>
      <c r="E6" s="95">
        <v>2.0002296E8</v>
      </c>
    </row>
    <row r="7">
      <c r="A7" s="93" t="s">
        <v>1384</v>
      </c>
      <c r="B7" s="93" t="s">
        <v>1385</v>
      </c>
      <c r="C7" s="93" t="s">
        <v>1383</v>
      </c>
      <c r="D7" s="94" t="str">
        <f t="shared" si="1"/>
        <v>None</v>
      </c>
      <c r="E7" s="95">
        <v>2.00024521E8</v>
      </c>
    </row>
    <row r="8">
      <c r="A8" s="93" t="s">
        <v>152</v>
      </c>
      <c r="B8" s="93" t="s">
        <v>1458</v>
      </c>
      <c r="C8" s="93" t="s">
        <v>1459</v>
      </c>
      <c r="D8" s="94" t="str">
        <f t="shared" si="1"/>
        <v>None</v>
      </c>
      <c r="E8" s="95">
        <v>2.00024714E8</v>
      </c>
    </row>
    <row r="9">
      <c r="A9" s="93" t="s">
        <v>357</v>
      </c>
      <c r="B9" s="93" t="s">
        <v>1460</v>
      </c>
      <c r="C9" s="93" t="s">
        <v>1461</v>
      </c>
      <c r="D9" s="94" t="str">
        <f t="shared" si="1"/>
        <v>None</v>
      </c>
      <c r="E9" s="95">
        <v>2.00028239E8</v>
      </c>
    </row>
    <row r="10">
      <c r="A10" s="93" t="s">
        <v>149</v>
      </c>
      <c r="B10" s="93" t="s">
        <v>1463</v>
      </c>
      <c r="C10" s="93" t="s">
        <v>756</v>
      </c>
      <c r="D10" s="94" t="str">
        <f t="shared" si="1"/>
        <v>None</v>
      </c>
      <c r="E10" s="95">
        <v>2.00030009E8</v>
      </c>
    </row>
    <row r="11">
      <c r="A11" s="93" t="s">
        <v>123</v>
      </c>
      <c r="B11" s="93" t="s">
        <v>451</v>
      </c>
      <c r="C11" s="93" t="s">
        <v>449</v>
      </c>
      <c r="D11" s="94" t="str">
        <f t="shared" si="1"/>
        <v>None</v>
      </c>
      <c r="E11" s="95">
        <v>2.00030407E8</v>
      </c>
    </row>
    <row r="12">
      <c r="A12" s="93" t="s">
        <v>314</v>
      </c>
      <c r="B12" s="93" t="s">
        <v>1464</v>
      </c>
      <c r="C12" s="93" t="s">
        <v>1465</v>
      </c>
      <c r="D12" s="94" t="str">
        <f t="shared" si="1"/>
        <v>None</v>
      </c>
      <c r="E12" s="95">
        <v>2.00030722E8</v>
      </c>
    </row>
    <row r="13">
      <c r="A13" s="93" t="s">
        <v>119</v>
      </c>
      <c r="B13" s="93" t="s">
        <v>698</v>
      </c>
      <c r="C13" s="93" t="s">
        <v>697</v>
      </c>
      <c r="D13" s="94" t="str">
        <f t="shared" si="1"/>
        <v>None</v>
      </c>
      <c r="E13" s="95">
        <v>2.00031205E8</v>
      </c>
    </row>
    <row r="14">
      <c r="A14" s="93" t="s">
        <v>854</v>
      </c>
      <c r="B14" s="93" t="s">
        <v>855</v>
      </c>
      <c r="C14" s="93" t="s">
        <v>853</v>
      </c>
      <c r="D14" s="94" t="str">
        <f t="shared" si="1"/>
        <v>None</v>
      </c>
      <c r="E14" s="95">
        <v>2.00032014E8</v>
      </c>
    </row>
    <row r="15">
      <c r="A15" s="93" t="s">
        <v>446</v>
      </c>
      <c r="B15" s="93" t="s">
        <v>447</v>
      </c>
      <c r="C15" s="93" t="s">
        <v>448</v>
      </c>
      <c r="D15" s="94" t="str">
        <f t="shared" si="1"/>
        <v>None</v>
      </c>
      <c r="E15" s="95">
        <v>2.00032724E8</v>
      </c>
    </row>
    <row r="16">
      <c r="A16" s="93" t="s">
        <v>340</v>
      </c>
      <c r="B16" s="93" t="s">
        <v>431</v>
      </c>
      <c r="C16" s="93" t="s">
        <v>432</v>
      </c>
      <c r="D16" s="94" t="str">
        <f t="shared" si="1"/>
        <v>None</v>
      </c>
      <c r="E16" s="95">
        <v>2.00032924E8</v>
      </c>
    </row>
    <row r="17">
      <c r="A17" s="93" t="s">
        <v>671</v>
      </c>
      <c r="B17" s="93" t="s">
        <v>672</v>
      </c>
      <c r="C17" s="93" t="s">
        <v>673</v>
      </c>
      <c r="D17" s="94" t="str">
        <f t="shared" si="1"/>
        <v>None</v>
      </c>
      <c r="E17" s="95">
        <v>2.00034006E8</v>
      </c>
    </row>
    <row r="18">
      <c r="A18" s="93" t="s">
        <v>120</v>
      </c>
      <c r="B18" s="93" t="s">
        <v>824</v>
      </c>
      <c r="C18" s="93" t="s">
        <v>823</v>
      </c>
      <c r="D18" s="94" t="str">
        <f t="shared" si="1"/>
        <v>None</v>
      </c>
      <c r="E18" s="95">
        <v>2.00034223E8</v>
      </c>
    </row>
    <row r="19">
      <c r="A19" s="93" t="s">
        <v>75</v>
      </c>
      <c r="B19" s="93" t="s">
        <v>511</v>
      </c>
      <c r="C19" s="93" t="s">
        <v>510</v>
      </c>
      <c r="D19" s="94" t="str">
        <f t="shared" si="1"/>
        <v>None</v>
      </c>
      <c r="E19" s="95">
        <v>2.00034614E8</v>
      </c>
    </row>
    <row r="20">
      <c r="A20" s="93" t="s">
        <v>210</v>
      </c>
      <c r="B20" s="93" t="s">
        <v>1034</v>
      </c>
      <c r="C20" s="93" t="s">
        <v>1033</v>
      </c>
      <c r="D20" s="94" t="str">
        <f t="shared" si="1"/>
        <v>None</v>
      </c>
      <c r="E20" s="95">
        <v>2.000356E8</v>
      </c>
    </row>
    <row r="21">
      <c r="A21" s="93" t="s">
        <v>90</v>
      </c>
      <c r="B21" s="93" t="s">
        <v>572</v>
      </c>
      <c r="C21" s="93" t="s">
        <v>571</v>
      </c>
      <c r="D21" s="94" t="str">
        <f t="shared" si="1"/>
        <v>None</v>
      </c>
      <c r="E21" s="95">
        <v>2.00035976E8</v>
      </c>
    </row>
    <row r="22">
      <c r="A22" s="93" t="s">
        <v>1254</v>
      </c>
      <c r="B22" s="93" t="s">
        <v>1255</v>
      </c>
      <c r="C22" s="93" t="s">
        <v>1253</v>
      </c>
      <c r="D22" s="94" t="str">
        <f t="shared" si="1"/>
        <v>None</v>
      </c>
      <c r="E22" s="95">
        <v>2.00036038E8</v>
      </c>
    </row>
    <row r="23">
      <c r="A23" s="93" t="s">
        <v>274</v>
      </c>
      <c r="B23" s="93" t="s">
        <v>1225</v>
      </c>
      <c r="C23" s="93" t="s">
        <v>1224</v>
      </c>
      <c r="D23" s="94" t="str">
        <f t="shared" si="1"/>
        <v>None</v>
      </c>
      <c r="E23" s="95">
        <v>2.00038002E8</v>
      </c>
    </row>
    <row r="24">
      <c r="A24" s="93" t="s">
        <v>503</v>
      </c>
      <c r="B24" s="93" t="s">
        <v>504</v>
      </c>
      <c r="C24" s="93" t="s">
        <v>502</v>
      </c>
      <c r="D24" s="94" t="str">
        <f t="shared" si="1"/>
        <v>None</v>
      </c>
      <c r="E24" s="95">
        <v>2.00038743E8</v>
      </c>
    </row>
    <row r="25">
      <c r="A25" s="93" t="s">
        <v>667</v>
      </c>
      <c r="B25" s="93" t="s">
        <v>668</v>
      </c>
      <c r="C25" s="93" t="s">
        <v>669</v>
      </c>
      <c r="D25" s="94" t="str">
        <f t="shared" si="1"/>
        <v>None</v>
      </c>
      <c r="E25" s="95">
        <v>2.00038928E8</v>
      </c>
    </row>
    <row r="26">
      <c r="A26" s="93" t="s">
        <v>239</v>
      </c>
      <c r="B26" s="93" t="s">
        <v>1471</v>
      </c>
      <c r="C26" s="93" t="s">
        <v>1201</v>
      </c>
      <c r="D26" s="94" t="str">
        <f t="shared" si="1"/>
        <v>None</v>
      </c>
      <c r="E26" s="95">
        <v>2.00040087E8</v>
      </c>
    </row>
    <row r="27">
      <c r="A27" s="93" t="s">
        <v>282</v>
      </c>
      <c r="B27" s="93" t="s">
        <v>379</v>
      </c>
      <c r="C27" s="93" t="s">
        <v>377</v>
      </c>
      <c r="D27" s="94" t="str">
        <f t="shared" si="1"/>
        <v>None</v>
      </c>
      <c r="E27" s="95">
        <v>2.00040106E8</v>
      </c>
    </row>
    <row r="28">
      <c r="A28" s="93" t="s">
        <v>1078</v>
      </c>
      <c r="B28" s="93" t="s">
        <v>1079</v>
      </c>
      <c r="C28" s="93" t="s">
        <v>1077</v>
      </c>
      <c r="D28" s="94" t="str">
        <f t="shared" si="1"/>
        <v>None</v>
      </c>
      <c r="E28" s="95">
        <v>2.00040133E8</v>
      </c>
    </row>
    <row r="29">
      <c r="A29" s="93" t="s">
        <v>156</v>
      </c>
      <c r="B29" s="93" t="s">
        <v>1006</v>
      </c>
      <c r="C29" s="93" t="s">
        <v>1005</v>
      </c>
      <c r="D29" s="94" t="str">
        <f t="shared" si="1"/>
        <v>None</v>
      </c>
      <c r="E29" s="95">
        <v>2.00040486E8</v>
      </c>
    </row>
    <row r="30">
      <c r="A30" s="93" t="s">
        <v>264</v>
      </c>
      <c r="B30" s="93" t="s">
        <v>1287</v>
      </c>
      <c r="C30" s="93" t="s">
        <v>1286</v>
      </c>
      <c r="D30" s="94" t="str">
        <f t="shared" si="1"/>
        <v>None</v>
      </c>
      <c r="E30" s="95">
        <v>2.00040764E8</v>
      </c>
    </row>
    <row r="31">
      <c r="A31" s="93" t="s">
        <v>881</v>
      </c>
      <c r="B31" s="93" t="s">
        <v>882</v>
      </c>
      <c r="C31" s="93" t="s">
        <v>880</v>
      </c>
      <c r="D31" s="94" t="str">
        <f t="shared" si="1"/>
        <v>None</v>
      </c>
      <c r="E31" s="95">
        <v>2.00042143E8</v>
      </c>
    </row>
    <row r="32">
      <c r="A32" s="93" t="s">
        <v>1477</v>
      </c>
      <c r="B32" s="93" t="s">
        <v>1478</v>
      </c>
      <c r="C32" s="93" t="s">
        <v>1479</v>
      </c>
      <c r="D32" s="94" t="str">
        <f t="shared" si="1"/>
        <v>None</v>
      </c>
      <c r="E32" s="95">
        <v>2.00042229E8</v>
      </c>
    </row>
    <row r="33">
      <c r="A33" s="93" t="s">
        <v>313</v>
      </c>
      <c r="B33" s="93" t="s">
        <v>1467</v>
      </c>
      <c r="C33" s="93" t="s">
        <v>1466</v>
      </c>
      <c r="D33" s="94" t="str">
        <f t="shared" si="1"/>
        <v>None</v>
      </c>
      <c r="E33" s="95">
        <v>2.00042236E8</v>
      </c>
    </row>
    <row r="34">
      <c r="A34" s="93" t="s">
        <v>664</v>
      </c>
      <c r="B34" s="93" t="s">
        <v>665</v>
      </c>
      <c r="C34" s="93" t="s">
        <v>666</v>
      </c>
      <c r="D34" s="94" t="str">
        <f t="shared" si="1"/>
        <v>None</v>
      </c>
      <c r="E34" s="95">
        <v>2.00042304E8</v>
      </c>
    </row>
    <row r="35">
      <c r="A35" s="93" t="s">
        <v>1482</v>
      </c>
      <c r="B35" s="93" t="s">
        <v>1483</v>
      </c>
      <c r="C35" s="93" t="s">
        <v>1484</v>
      </c>
      <c r="D35" s="94" t="str">
        <f t="shared" si="1"/>
        <v>None</v>
      </c>
      <c r="E35" s="95">
        <v>2.00042515E8</v>
      </c>
    </row>
    <row r="36">
      <c r="A36" s="93" t="s">
        <v>1258</v>
      </c>
      <c r="B36" s="93" t="s">
        <v>1259</v>
      </c>
      <c r="C36" s="93" t="s">
        <v>1257</v>
      </c>
      <c r="D36" s="94" t="str">
        <f t="shared" si="1"/>
        <v>None</v>
      </c>
      <c r="E36" s="95">
        <v>2.00042786E8</v>
      </c>
    </row>
    <row r="37">
      <c r="A37" s="93" t="s">
        <v>661</v>
      </c>
      <c r="B37" s="93" t="s">
        <v>662</v>
      </c>
      <c r="C37" s="93" t="s">
        <v>663</v>
      </c>
      <c r="D37" s="94" t="str">
        <f t="shared" si="1"/>
        <v>None</v>
      </c>
      <c r="E37" s="95">
        <v>2.00043211E8</v>
      </c>
    </row>
    <row r="38">
      <c r="A38" s="93" t="s">
        <v>329</v>
      </c>
      <c r="B38" s="93" t="s">
        <v>1486</v>
      </c>
      <c r="C38" s="93" t="s">
        <v>1487</v>
      </c>
      <c r="D38" s="94" t="str">
        <f t="shared" si="1"/>
        <v>None</v>
      </c>
      <c r="E38" s="95">
        <v>2.00043491E8</v>
      </c>
    </row>
    <row r="39">
      <c r="A39" s="93" t="s">
        <v>934</v>
      </c>
      <c r="B39" s="93" t="s">
        <v>935</v>
      </c>
      <c r="C39" s="93" t="s">
        <v>933</v>
      </c>
      <c r="D39" s="94" t="str">
        <f t="shared" si="1"/>
        <v>None</v>
      </c>
      <c r="E39" s="95">
        <v>2.0004364E8</v>
      </c>
    </row>
    <row r="40">
      <c r="A40" s="93" t="s">
        <v>118</v>
      </c>
      <c r="B40" s="93" t="s">
        <v>677</v>
      </c>
      <c r="C40" s="93" t="s">
        <v>676</v>
      </c>
      <c r="D40" s="94" t="str">
        <f t="shared" si="1"/>
        <v>None</v>
      </c>
      <c r="E40" s="95">
        <v>2.00044338E8</v>
      </c>
    </row>
    <row r="41">
      <c r="A41" s="93" t="s">
        <v>1351</v>
      </c>
      <c r="B41" s="93" t="s">
        <v>1352</v>
      </c>
      <c r="C41" s="93" t="s">
        <v>1350</v>
      </c>
      <c r="D41" s="94" t="str">
        <f t="shared" si="1"/>
        <v>None</v>
      </c>
      <c r="E41" s="95">
        <v>2.00044447E8</v>
      </c>
    </row>
    <row r="42">
      <c r="A42" s="93" t="s">
        <v>1057</v>
      </c>
      <c r="B42" s="93" t="s">
        <v>1058</v>
      </c>
      <c r="C42" s="93" t="s">
        <v>1055</v>
      </c>
      <c r="D42" s="94" t="str">
        <f t="shared" si="1"/>
        <v>None</v>
      </c>
      <c r="E42" s="95">
        <v>2.00044476E8</v>
      </c>
    </row>
    <row r="43">
      <c r="A43" s="93" t="s">
        <v>1316</v>
      </c>
      <c r="B43" s="93" t="s">
        <v>1317</v>
      </c>
      <c r="C43" s="93" t="s">
        <v>1315</v>
      </c>
      <c r="D43" s="94" t="str">
        <f t="shared" si="1"/>
        <v>None</v>
      </c>
      <c r="E43" s="95">
        <v>2.000446E8</v>
      </c>
    </row>
    <row r="44">
      <c r="A44" s="93" t="s">
        <v>98</v>
      </c>
      <c r="B44" s="93" t="s">
        <v>1488</v>
      </c>
      <c r="C44" s="93" t="s">
        <v>1489</v>
      </c>
      <c r="D44" s="94" t="str">
        <f t="shared" si="1"/>
        <v>None</v>
      </c>
      <c r="E44" s="95">
        <v>2.00044917E8</v>
      </c>
    </row>
    <row r="45">
      <c r="A45" s="93" t="s">
        <v>26</v>
      </c>
      <c r="B45" s="93" t="s">
        <v>27</v>
      </c>
      <c r="C45" s="93" t="s">
        <v>25</v>
      </c>
      <c r="D45" s="94" t="str">
        <f t="shared" si="1"/>
        <v>None</v>
      </c>
      <c r="E45" s="95">
        <v>2.0004594E8</v>
      </c>
    </row>
    <row r="46">
      <c r="A46" s="93" t="s">
        <v>842</v>
      </c>
      <c r="B46" s="93" t="s">
        <v>843</v>
      </c>
      <c r="C46" s="93" t="s">
        <v>841</v>
      </c>
      <c r="D46" s="94" t="str">
        <f t="shared" si="1"/>
        <v>None</v>
      </c>
      <c r="E46" s="95">
        <v>2.0004621E8</v>
      </c>
    </row>
    <row r="47">
      <c r="A47" s="93" t="s">
        <v>1491</v>
      </c>
      <c r="B47" s="93" t="s">
        <v>1492</v>
      </c>
      <c r="C47" s="93" t="s">
        <v>1493</v>
      </c>
      <c r="D47" s="94" t="str">
        <f t="shared" si="1"/>
        <v>None</v>
      </c>
      <c r="E47" s="95">
        <v>2.00046341E8</v>
      </c>
    </row>
    <row r="48">
      <c r="A48" s="93" t="s">
        <v>1283</v>
      </c>
      <c r="B48" s="93" t="s">
        <v>1284</v>
      </c>
      <c r="C48" s="93" t="s">
        <v>1282</v>
      </c>
      <c r="D48" s="94" t="str">
        <f t="shared" si="1"/>
        <v>None</v>
      </c>
      <c r="E48" s="95">
        <v>2.00046424E8</v>
      </c>
    </row>
    <row r="49">
      <c r="A49" s="93" t="s">
        <v>315</v>
      </c>
      <c r="B49" s="93" t="s">
        <v>321</v>
      </c>
      <c r="C49" s="93" t="s">
        <v>322</v>
      </c>
      <c r="D49" s="94" t="str">
        <f t="shared" si="1"/>
        <v>None</v>
      </c>
      <c r="E49" s="95">
        <v>2.00046453E8</v>
      </c>
    </row>
    <row r="50">
      <c r="A50" s="93" t="s">
        <v>923</v>
      </c>
      <c r="B50" s="93" t="s">
        <v>925</v>
      </c>
      <c r="C50" s="93" t="s">
        <v>922</v>
      </c>
      <c r="D50" s="94" t="str">
        <f t="shared" si="1"/>
        <v>None</v>
      </c>
      <c r="E50" s="95">
        <v>2.00046774E8</v>
      </c>
    </row>
    <row r="51">
      <c r="A51" s="97" t="s">
        <v>481</v>
      </c>
      <c r="B51" s="93" t="s">
        <v>482</v>
      </c>
      <c r="C51" s="93" t="s">
        <v>483</v>
      </c>
      <c r="D51" s="94" t="str">
        <f t="shared" si="1"/>
        <v>None</v>
      </c>
      <c r="E51" s="95">
        <v>2.00047647E8</v>
      </c>
    </row>
    <row r="52">
      <c r="A52" s="93" t="s">
        <v>268</v>
      </c>
      <c r="B52" s="93" t="s">
        <v>1229</v>
      </c>
      <c r="C52" s="93" t="s">
        <v>1228</v>
      </c>
      <c r="D52" s="94" t="str">
        <f t="shared" si="1"/>
        <v>None</v>
      </c>
      <c r="E52" s="95">
        <v>2.0004795E8</v>
      </c>
    </row>
    <row r="53">
      <c r="A53" s="93" t="s">
        <v>94</v>
      </c>
      <c r="B53" s="93" t="s">
        <v>564</v>
      </c>
      <c r="C53" s="93" t="s">
        <v>563</v>
      </c>
      <c r="D53" s="94" t="str">
        <f t="shared" si="1"/>
        <v>None</v>
      </c>
      <c r="E53" s="95">
        <v>2.0004802E8</v>
      </c>
    </row>
    <row r="54">
      <c r="A54" s="93" t="s">
        <v>297</v>
      </c>
      <c r="B54" s="93" t="s">
        <v>301</v>
      </c>
      <c r="C54" s="93" t="s">
        <v>302</v>
      </c>
      <c r="D54" s="94" t="str">
        <f t="shared" si="1"/>
        <v>None</v>
      </c>
      <c r="E54" s="95">
        <v>2.00048174E8</v>
      </c>
    </row>
    <row r="55">
      <c r="A55" s="93" t="s">
        <v>133</v>
      </c>
      <c r="B55" s="93" t="s">
        <v>743</v>
      </c>
      <c r="C55" s="93" t="s">
        <v>742</v>
      </c>
      <c r="D55" s="94" t="str">
        <f t="shared" si="1"/>
        <v>None</v>
      </c>
      <c r="E55" s="95">
        <v>2.00048534E8</v>
      </c>
    </row>
    <row r="56">
      <c r="A56" s="93" t="s">
        <v>351</v>
      </c>
      <c r="B56" s="93" t="s">
        <v>352</v>
      </c>
      <c r="C56" s="93" t="s">
        <v>350</v>
      </c>
      <c r="D56" s="94" t="str">
        <f t="shared" si="1"/>
        <v>None</v>
      </c>
      <c r="E56" s="95">
        <v>2.00048597E8</v>
      </c>
    </row>
    <row r="57">
      <c r="A57" s="93" t="s">
        <v>231</v>
      </c>
      <c r="B57" s="93" t="s">
        <v>1183</v>
      </c>
      <c r="C57" s="93" t="s">
        <v>1182</v>
      </c>
      <c r="D57" s="94" t="str">
        <f t="shared" si="1"/>
        <v>None</v>
      </c>
      <c r="E57" s="95">
        <v>2.00048838E8</v>
      </c>
    </row>
    <row r="58">
      <c r="A58" s="93" t="s">
        <v>1238</v>
      </c>
      <c r="B58" s="93" t="s">
        <v>1239</v>
      </c>
      <c r="C58" s="93" t="s">
        <v>1237</v>
      </c>
      <c r="D58" s="94" t="str">
        <f t="shared" si="1"/>
        <v>None</v>
      </c>
      <c r="E58" s="95">
        <v>2.00049873E8</v>
      </c>
    </row>
    <row r="59">
      <c r="A59" s="93" t="s">
        <v>184</v>
      </c>
      <c r="B59" s="93" t="s">
        <v>892</v>
      </c>
      <c r="C59" s="93" t="s">
        <v>889</v>
      </c>
      <c r="D59" s="94" t="str">
        <f t="shared" si="1"/>
        <v>None</v>
      </c>
      <c r="E59" s="95">
        <v>2.00049942E8</v>
      </c>
    </row>
    <row r="60">
      <c r="A60" s="93" t="s">
        <v>1495</v>
      </c>
      <c r="B60" s="93" t="s">
        <v>1496</v>
      </c>
      <c r="C60" s="93" t="s">
        <v>1497</v>
      </c>
      <c r="D60" s="94" t="str">
        <f t="shared" si="1"/>
        <v>None</v>
      </c>
      <c r="E60" s="95">
        <v>2.00050938E8</v>
      </c>
    </row>
    <row r="61">
      <c r="A61" s="93" t="s">
        <v>413</v>
      </c>
      <c r="B61" s="93" t="s">
        <v>414</v>
      </c>
      <c r="C61" s="93" t="s">
        <v>412</v>
      </c>
      <c r="D61" s="94" t="str">
        <f t="shared" si="1"/>
        <v>None</v>
      </c>
      <c r="E61" s="95">
        <v>2.00051055E8</v>
      </c>
    </row>
    <row r="62">
      <c r="A62" s="93" t="s">
        <v>649</v>
      </c>
      <c r="B62" s="93" t="s">
        <v>650</v>
      </c>
      <c r="C62" s="93" t="s">
        <v>651</v>
      </c>
      <c r="D62" s="94" t="str">
        <f t="shared" si="1"/>
        <v>None</v>
      </c>
      <c r="E62" s="95">
        <v>2.00051825E8</v>
      </c>
    </row>
    <row r="63">
      <c r="A63" s="93" t="s">
        <v>157</v>
      </c>
      <c r="B63" s="93" t="s">
        <v>751</v>
      </c>
      <c r="C63" s="93" t="s">
        <v>750</v>
      </c>
      <c r="D63" s="94" t="str">
        <f t="shared" si="1"/>
        <v>None</v>
      </c>
      <c r="E63" s="95">
        <v>2.00051917E8</v>
      </c>
    </row>
    <row r="64">
      <c r="A64" s="93" t="s">
        <v>115</v>
      </c>
      <c r="B64" s="93" t="s">
        <v>690</v>
      </c>
      <c r="C64" s="93" t="s">
        <v>689</v>
      </c>
      <c r="D64" s="94" t="str">
        <f t="shared" si="1"/>
        <v>None</v>
      </c>
      <c r="E64" s="95">
        <v>2.00052102E8</v>
      </c>
    </row>
    <row r="65">
      <c r="A65" s="93" t="s">
        <v>296</v>
      </c>
      <c r="B65" s="93" t="s">
        <v>1427</v>
      </c>
      <c r="C65" s="93" t="s">
        <v>1426</v>
      </c>
      <c r="D65" s="94" t="str">
        <f t="shared" si="1"/>
        <v>None</v>
      </c>
      <c r="E65" s="95">
        <v>2.00052215E8</v>
      </c>
    </row>
    <row r="66">
      <c r="A66" s="93" t="s">
        <v>652</v>
      </c>
      <c r="B66" s="93" t="s">
        <v>654</v>
      </c>
      <c r="C66" s="93" t="s">
        <v>656</v>
      </c>
      <c r="D66" s="94" t="str">
        <f t="shared" si="1"/>
        <v>None</v>
      </c>
      <c r="E66" s="95">
        <v>2.00052354E8</v>
      </c>
    </row>
    <row r="67">
      <c r="A67" s="93" t="s">
        <v>658</v>
      </c>
      <c r="B67" s="93" t="s">
        <v>659</v>
      </c>
      <c r="C67" s="93" t="s">
        <v>660</v>
      </c>
      <c r="D67" s="94" t="str">
        <f t="shared" si="1"/>
        <v>None</v>
      </c>
      <c r="E67" s="95">
        <v>2.00052464E8</v>
      </c>
    </row>
    <row r="68">
      <c r="A68" s="93" t="s">
        <v>1443</v>
      </c>
      <c r="B68" s="93" t="s">
        <v>1444</v>
      </c>
      <c r="C68" s="93" t="s">
        <v>1442</v>
      </c>
      <c r="D68" s="94" t="str">
        <f t="shared" si="1"/>
        <v>None</v>
      </c>
      <c r="E68" s="95">
        <v>2.0005282E8</v>
      </c>
    </row>
    <row r="69">
      <c r="A69" s="93" t="s">
        <v>278</v>
      </c>
      <c r="B69" s="93" t="s">
        <v>284</v>
      </c>
      <c r="C69" s="93" t="s">
        <v>286</v>
      </c>
      <c r="D69" s="94" t="str">
        <f t="shared" si="1"/>
        <v>None</v>
      </c>
      <c r="E69" s="95">
        <v>2.00052943E8</v>
      </c>
    </row>
    <row r="70">
      <c r="A70" s="93" t="s">
        <v>385</v>
      </c>
      <c r="B70" s="93" t="s">
        <v>1499</v>
      </c>
      <c r="C70" s="93" t="s">
        <v>1500</v>
      </c>
      <c r="D70" s="94" t="str">
        <f t="shared" si="1"/>
        <v>None</v>
      </c>
      <c r="E70" s="95">
        <v>2.00053152E8</v>
      </c>
    </row>
    <row r="71">
      <c r="A71" s="93" t="s">
        <v>92</v>
      </c>
      <c r="B71" s="93" t="s">
        <v>532</v>
      </c>
      <c r="C71" s="93" t="s">
        <v>531</v>
      </c>
      <c r="D71" s="94" t="str">
        <f t="shared" si="1"/>
        <v>None</v>
      </c>
      <c r="E71" s="95">
        <v>2.00053944E8</v>
      </c>
    </row>
    <row r="72">
      <c r="A72" s="93" t="s">
        <v>1365</v>
      </c>
      <c r="B72" s="93" t="s">
        <v>1366</v>
      </c>
      <c r="C72" s="93" t="s">
        <v>1364</v>
      </c>
      <c r="D72" s="94" t="str">
        <f t="shared" si="1"/>
        <v>None</v>
      </c>
      <c r="E72" s="95">
        <v>2.00053991E8</v>
      </c>
    </row>
    <row r="73">
      <c r="A73" s="93" t="s">
        <v>101</v>
      </c>
      <c r="B73" s="93" t="s">
        <v>1251</v>
      </c>
      <c r="C73" s="93" t="s">
        <v>1250</v>
      </c>
      <c r="D73" s="94" t="str">
        <f t="shared" si="1"/>
        <v>None</v>
      </c>
      <c r="E73" s="95">
        <v>2.00055712E8</v>
      </c>
    </row>
    <row r="74">
      <c r="A74" s="93" t="s">
        <v>1042</v>
      </c>
      <c r="B74" s="93" t="s">
        <v>1043</v>
      </c>
      <c r="C74" s="93" t="s">
        <v>1041</v>
      </c>
      <c r="D74" s="94" t="str">
        <f t="shared" si="1"/>
        <v>None</v>
      </c>
      <c r="E74" s="95">
        <v>2.00056297E8</v>
      </c>
    </row>
    <row r="75">
      <c r="A75" s="93" t="s">
        <v>1143</v>
      </c>
      <c r="B75" s="93" t="s">
        <v>1144</v>
      </c>
      <c r="C75" s="93" t="s">
        <v>1142</v>
      </c>
      <c r="D75" s="94" t="str">
        <f t="shared" si="1"/>
        <v>None</v>
      </c>
      <c r="E75" s="95">
        <v>2.00056638E8</v>
      </c>
    </row>
    <row r="76">
      <c r="A76" s="93" t="s">
        <v>1473</v>
      </c>
      <c r="B76" s="93" t="s">
        <v>1474</v>
      </c>
      <c r="C76" s="93" t="s">
        <v>1472</v>
      </c>
      <c r="D76" s="94" t="str">
        <f t="shared" si="1"/>
        <v>None</v>
      </c>
      <c r="E76" s="95">
        <v>2.00056917E8</v>
      </c>
    </row>
    <row r="77">
      <c r="A77" s="93" t="s">
        <v>1502</v>
      </c>
      <c r="B77" s="93" t="s">
        <v>1503</v>
      </c>
      <c r="C77" s="93" t="s">
        <v>1504</v>
      </c>
      <c r="D77" s="94" t="str">
        <f t="shared" si="1"/>
        <v>None</v>
      </c>
      <c r="E77" s="95">
        <v>2.00057065E8</v>
      </c>
    </row>
    <row r="78">
      <c r="A78" s="93" t="s">
        <v>646</v>
      </c>
      <c r="B78" s="93" t="s">
        <v>647</v>
      </c>
      <c r="C78" s="93" t="s">
        <v>648</v>
      </c>
      <c r="D78" s="94" t="str">
        <f t="shared" si="1"/>
        <v>None</v>
      </c>
      <c r="E78" s="95">
        <v>2.00058201E8</v>
      </c>
    </row>
    <row r="79">
      <c r="A79" s="93" t="s">
        <v>1505</v>
      </c>
      <c r="B79" s="93" t="s">
        <v>1506</v>
      </c>
      <c r="C79" s="93" t="s">
        <v>1507</v>
      </c>
      <c r="D79" s="94" t="str">
        <f t="shared" si="1"/>
        <v>None</v>
      </c>
      <c r="E79" s="95">
        <v>2.00058279E8</v>
      </c>
    </row>
    <row r="80">
      <c r="A80" s="93" t="s">
        <v>263</v>
      </c>
      <c r="B80" s="93" t="s">
        <v>1266</v>
      </c>
      <c r="C80" s="93" t="s">
        <v>1265</v>
      </c>
      <c r="D80" s="94" t="str">
        <f t="shared" si="1"/>
        <v>None</v>
      </c>
      <c r="E80" s="95">
        <v>2.00062432E8</v>
      </c>
    </row>
    <row r="81">
      <c r="A81" s="93" t="s">
        <v>1508</v>
      </c>
      <c r="B81" s="93" t="s">
        <v>1509</v>
      </c>
      <c r="C81" s="93" t="s">
        <v>1510</v>
      </c>
      <c r="D81" s="94" t="str">
        <f t="shared" si="1"/>
        <v>None</v>
      </c>
      <c r="E81" s="95">
        <v>2.00063349E8</v>
      </c>
    </row>
    <row r="82">
      <c r="A82" s="93" t="s">
        <v>1511</v>
      </c>
      <c r="B82" s="93" t="s">
        <v>1512</v>
      </c>
      <c r="C82" s="93" t="s">
        <v>1513</v>
      </c>
      <c r="D82" s="94" t="str">
        <f t="shared" si="1"/>
        <v>None</v>
      </c>
      <c r="E82" s="95">
        <v>2.00063852E8</v>
      </c>
    </row>
    <row r="83">
      <c r="A83" s="93" t="s">
        <v>176</v>
      </c>
      <c r="B83" s="93" t="s">
        <v>872</v>
      </c>
      <c r="C83" s="93" t="s">
        <v>871</v>
      </c>
      <c r="D83" s="94" t="str">
        <f t="shared" si="1"/>
        <v>None</v>
      </c>
      <c r="E83" s="95">
        <v>2.00071579E8</v>
      </c>
    </row>
    <row r="84">
      <c r="A84" s="93" t="s">
        <v>337</v>
      </c>
      <c r="B84" s="93" t="s">
        <v>550</v>
      </c>
      <c r="C84" s="93" t="s">
        <v>549</v>
      </c>
      <c r="D84" s="94" t="str">
        <f t="shared" si="1"/>
        <v>None</v>
      </c>
      <c r="E84" s="95">
        <v>2.00074286E8</v>
      </c>
    </row>
    <row r="85">
      <c r="A85" s="93" t="s">
        <v>556</v>
      </c>
      <c r="B85" s="93" t="s">
        <v>557</v>
      </c>
      <c r="C85" s="93" t="s">
        <v>555</v>
      </c>
      <c r="D85" s="94" t="str">
        <f t="shared" si="1"/>
        <v>None</v>
      </c>
      <c r="E85" s="95">
        <v>2.00079461E8</v>
      </c>
    </row>
    <row r="86">
      <c r="A86" s="93" t="s">
        <v>139</v>
      </c>
      <c r="B86" s="93" t="s">
        <v>762</v>
      </c>
      <c r="C86" s="93" t="s">
        <v>761</v>
      </c>
      <c r="D86" s="94" t="str">
        <f t="shared" si="1"/>
        <v>None</v>
      </c>
      <c r="E86" s="95">
        <v>2.00083199E8</v>
      </c>
    </row>
    <row r="87">
      <c r="A87" s="93" t="s">
        <v>1399</v>
      </c>
      <c r="B87" s="93" t="s">
        <v>1400</v>
      </c>
      <c r="C87" s="93" t="s">
        <v>1398</v>
      </c>
      <c r="D87" s="94" t="str">
        <f t="shared" si="1"/>
        <v>None</v>
      </c>
      <c r="E87" s="95">
        <v>2.00083669E8</v>
      </c>
    </row>
    <row r="88">
      <c r="A88" s="93" t="s">
        <v>1166</v>
      </c>
      <c r="B88" s="93" t="s">
        <v>1167</v>
      </c>
      <c r="C88" s="93" t="s">
        <v>1165</v>
      </c>
      <c r="D88" s="94" t="str">
        <f t="shared" si="1"/>
        <v>None</v>
      </c>
      <c r="E88" s="95">
        <v>2.00085459E8</v>
      </c>
    </row>
    <row r="89">
      <c r="A89" s="93" t="s">
        <v>1434</v>
      </c>
      <c r="B89" s="93" t="s">
        <v>1435</v>
      </c>
      <c r="C89" s="93" t="s">
        <v>1433</v>
      </c>
      <c r="D89" s="94" t="str">
        <f t="shared" si="1"/>
        <v>None</v>
      </c>
      <c r="E89" s="95">
        <v>2.00086374E8</v>
      </c>
    </row>
    <row r="90">
      <c r="A90" s="93" t="s">
        <v>535</v>
      </c>
      <c r="B90" s="93" t="s">
        <v>536</v>
      </c>
      <c r="C90" s="93" t="s">
        <v>534</v>
      </c>
      <c r="D90" s="94" t="str">
        <f t="shared" si="1"/>
        <v>None</v>
      </c>
      <c r="E90" s="95">
        <v>2.00088227E8</v>
      </c>
    </row>
    <row r="91">
      <c r="A91" s="93" t="s">
        <v>245</v>
      </c>
      <c r="B91" s="93" t="s">
        <v>255</v>
      </c>
      <c r="C91" s="93" t="s">
        <v>256</v>
      </c>
      <c r="D91" s="94" t="str">
        <f t="shared" si="1"/>
        <v>None</v>
      </c>
      <c r="E91" s="95">
        <v>2.000895E8</v>
      </c>
    </row>
    <row r="92">
      <c r="A92" s="93" t="s">
        <v>376</v>
      </c>
      <c r="B92" s="93" t="s">
        <v>444</v>
      </c>
      <c r="C92" s="93" t="s">
        <v>445</v>
      </c>
      <c r="D92" s="94" t="str">
        <f t="shared" si="1"/>
        <v>None</v>
      </c>
      <c r="E92" s="95">
        <v>2.00090248E8</v>
      </c>
    </row>
    <row r="93">
      <c r="A93" s="93" t="s">
        <v>343</v>
      </c>
      <c r="B93" s="93" t="s">
        <v>476</v>
      </c>
      <c r="C93" s="93" t="s">
        <v>475</v>
      </c>
      <c r="D93" s="94" t="str">
        <f t="shared" si="1"/>
        <v>None</v>
      </c>
      <c r="E93" s="95">
        <v>2.00090863E8</v>
      </c>
    </row>
    <row r="94">
      <c r="A94" s="93" t="s">
        <v>190</v>
      </c>
      <c r="B94" s="93" t="s">
        <v>1361</v>
      </c>
      <c r="C94" s="93" t="s">
        <v>1360</v>
      </c>
      <c r="D94" s="94" t="str">
        <f t="shared" si="1"/>
        <v>None</v>
      </c>
      <c r="E94" s="95">
        <v>2.00092202E8</v>
      </c>
    </row>
    <row r="95">
      <c r="A95" s="93" t="s">
        <v>227</v>
      </c>
      <c r="B95" s="93" t="s">
        <v>232</v>
      </c>
      <c r="C95" s="93" t="s">
        <v>233</v>
      </c>
      <c r="D95" s="94" t="str">
        <f t="shared" si="1"/>
        <v>None</v>
      </c>
      <c r="E95" s="95">
        <v>2.00092842E8</v>
      </c>
    </row>
    <row r="96">
      <c r="A96" s="93" t="s">
        <v>390</v>
      </c>
      <c r="B96" s="93" t="s">
        <v>1517</v>
      </c>
      <c r="C96" s="93" t="s">
        <v>1518</v>
      </c>
      <c r="D96" s="94" t="str">
        <f t="shared" si="1"/>
        <v>None</v>
      </c>
      <c r="E96" s="95">
        <v>2.00096939E8</v>
      </c>
    </row>
    <row r="97">
      <c r="A97" s="93" t="s">
        <v>326</v>
      </c>
      <c r="B97" s="93" t="s">
        <v>1520</v>
      </c>
      <c r="C97" s="93" t="s">
        <v>1521</v>
      </c>
      <c r="D97" s="94" t="str">
        <f t="shared" si="1"/>
        <v>None</v>
      </c>
      <c r="E97" s="95">
        <v>2.00097715E8</v>
      </c>
    </row>
    <row r="98">
      <c r="A98" s="93" t="s">
        <v>242</v>
      </c>
      <c r="B98" s="93" t="s">
        <v>1211</v>
      </c>
      <c r="C98" s="93" t="s">
        <v>1210</v>
      </c>
      <c r="D98" s="94" t="str">
        <f t="shared" si="1"/>
        <v>None</v>
      </c>
      <c r="E98" s="95">
        <v>2.00097926E8</v>
      </c>
    </row>
    <row r="99">
      <c r="A99" s="93" t="s">
        <v>342</v>
      </c>
      <c r="B99" s="93" t="s">
        <v>1311</v>
      </c>
      <c r="C99" s="93" t="s">
        <v>1310</v>
      </c>
      <c r="D99" s="94" t="str">
        <f t="shared" si="1"/>
        <v>None</v>
      </c>
      <c r="E99" s="95">
        <v>2.00102244E8</v>
      </c>
    </row>
    <row r="100">
      <c r="A100" s="93" t="s">
        <v>1190</v>
      </c>
      <c r="B100" s="93" t="s">
        <v>1191</v>
      </c>
      <c r="C100" s="93" t="s">
        <v>1189</v>
      </c>
      <c r="D100" s="94" t="str">
        <f t="shared" si="1"/>
        <v>None</v>
      </c>
      <c r="E100" s="95">
        <v>2.00104249E8</v>
      </c>
    </row>
    <row r="101">
      <c r="A101" s="93" t="s">
        <v>407</v>
      </c>
      <c r="B101" s="93" t="s">
        <v>866</v>
      </c>
      <c r="C101" s="93" t="s">
        <v>863</v>
      </c>
      <c r="D101" s="94" t="str">
        <f t="shared" si="1"/>
        <v>None</v>
      </c>
      <c r="E101" s="95">
        <v>2.00106085E8</v>
      </c>
    </row>
    <row r="102">
      <c r="A102" s="93" t="s">
        <v>642</v>
      </c>
      <c r="B102" s="93" t="s">
        <v>643</v>
      </c>
      <c r="C102" s="93" t="s">
        <v>645</v>
      </c>
      <c r="D102" s="94" t="str">
        <f t="shared" si="1"/>
        <v>None</v>
      </c>
      <c r="E102" s="95">
        <v>2.00110513E8</v>
      </c>
    </row>
    <row r="103">
      <c r="A103" s="93" t="s">
        <v>1422</v>
      </c>
      <c r="B103" s="93" t="s">
        <v>1423</v>
      </c>
      <c r="C103" s="93" t="s">
        <v>1421</v>
      </c>
      <c r="D103" s="94" t="str">
        <f t="shared" si="1"/>
        <v>None</v>
      </c>
      <c r="E103" s="95">
        <v>2.00112544E8</v>
      </c>
    </row>
    <row r="104">
      <c r="A104" s="93" t="s">
        <v>1154</v>
      </c>
      <c r="B104" s="93" t="s">
        <v>1155</v>
      </c>
      <c r="C104" s="93" t="s">
        <v>1153</v>
      </c>
      <c r="D104" s="94" t="str">
        <f t="shared" si="1"/>
        <v>None</v>
      </c>
      <c r="E104" s="95">
        <v>2.00113461E8</v>
      </c>
    </row>
    <row r="105">
      <c r="A105" s="93" t="s">
        <v>1131</v>
      </c>
      <c r="B105" s="93" t="s">
        <v>1132</v>
      </c>
      <c r="C105" s="93" t="s">
        <v>1130</v>
      </c>
      <c r="D105" s="94" t="str">
        <f t="shared" si="1"/>
        <v>None</v>
      </c>
      <c r="E105" s="95">
        <v>2.00114329E8</v>
      </c>
    </row>
    <row r="106">
      <c r="A106" s="93" t="s">
        <v>1332</v>
      </c>
      <c r="B106" s="93" t="s">
        <v>1333</v>
      </c>
      <c r="C106" s="93" t="s">
        <v>1331</v>
      </c>
      <c r="D106" s="94" t="str">
        <f t="shared" si="1"/>
        <v>None</v>
      </c>
      <c r="E106" s="95">
        <v>2.00114344E8</v>
      </c>
    </row>
    <row r="107">
      <c r="A107" s="93" t="s">
        <v>125</v>
      </c>
      <c r="B107" s="93" t="s">
        <v>718</v>
      </c>
      <c r="C107" s="93" t="s">
        <v>717</v>
      </c>
      <c r="D107" s="94" t="str">
        <f t="shared" si="1"/>
        <v>None</v>
      </c>
      <c r="E107" s="95">
        <v>2.00114379E8</v>
      </c>
    </row>
    <row r="108">
      <c r="A108" s="93" t="s">
        <v>204</v>
      </c>
      <c r="B108" s="93" t="s">
        <v>773</v>
      </c>
      <c r="C108" s="93" t="s">
        <v>772</v>
      </c>
      <c r="D108" s="94" t="str">
        <f t="shared" si="1"/>
        <v>None</v>
      </c>
      <c r="E108" s="95">
        <v>2.00114387E8</v>
      </c>
    </row>
    <row r="109">
      <c r="A109" s="93" t="s">
        <v>1404</v>
      </c>
      <c r="B109" s="93" t="s">
        <v>1405</v>
      </c>
      <c r="C109" s="93" t="s">
        <v>1403</v>
      </c>
      <c r="D109" s="94" t="str">
        <f t="shared" si="1"/>
        <v>None</v>
      </c>
      <c r="E109" s="95">
        <v>2.00114394E8</v>
      </c>
    </row>
    <row r="110">
      <c r="A110" s="93" t="s">
        <v>100</v>
      </c>
      <c r="B110" s="93" t="s">
        <v>1219</v>
      </c>
      <c r="C110" s="93" t="s">
        <v>1218</v>
      </c>
      <c r="D110" s="94" t="str">
        <f t="shared" si="1"/>
        <v>None</v>
      </c>
      <c r="E110" s="95">
        <v>2.00114416E8</v>
      </c>
    </row>
    <row r="111">
      <c r="A111" s="93" t="s">
        <v>1025</v>
      </c>
      <c r="B111" s="93" t="s">
        <v>1026</v>
      </c>
      <c r="C111" s="93" t="s">
        <v>1024</v>
      </c>
      <c r="D111" s="94" t="str">
        <f t="shared" si="1"/>
        <v>None</v>
      </c>
      <c r="E111" s="95">
        <v>2.00114424E8</v>
      </c>
    </row>
    <row r="112">
      <c r="A112" s="93" t="s">
        <v>295</v>
      </c>
      <c r="B112" s="93" t="s">
        <v>1430</v>
      </c>
      <c r="C112" s="93" t="s">
        <v>1429</v>
      </c>
      <c r="D112" s="94" t="str">
        <f t="shared" si="1"/>
        <v>None</v>
      </c>
      <c r="E112" s="95">
        <v>2.00114433E8</v>
      </c>
    </row>
    <row r="113">
      <c r="A113" s="93" t="s">
        <v>1149</v>
      </c>
      <c r="B113" s="93" t="s">
        <v>1150</v>
      </c>
      <c r="C113" s="93" t="s">
        <v>1148</v>
      </c>
      <c r="D113" s="94" t="str">
        <f t="shared" si="1"/>
        <v>None</v>
      </c>
      <c r="E113" s="95">
        <v>2.00114502E8</v>
      </c>
    </row>
    <row r="114">
      <c r="A114" s="93" t="s">
        <v>386</v>
      </c>
      <c r="B114" s="93" t="s">
        <v>1469</v>
      </c>
      <c r="C114" s="93" t="s">
        <v>1470</v>
      </c>
      <c r="D114" s="94" t="str">
        <f t="shared" si="1"/>
        <v>None</v>
      </c>
      <c r="E114" s="95">
        <v>2.00114518E8</v>
      </c>
    </row>
    <row r="115">
      <c r="A115" s="93" t="s">
        <v>1476</v>
      </c>
      <c r="B115" s="93" t="s">
        <v>1480</v>
      </c>
      <c r="C115" s="93" t="s">
        <v>1481</v>
      </c>
      <c r="D115" s="94" t="str">
        <f t="shared" si="1"/>
        <v>None</v>
      </c>
      <c r="E115" s="95">
        <v>2.0011456E8</v>
      </c>
    </row>
    <row r="116">
      <c r="A116" s="93" t="s">
        <v>835</v>
      </c>
      <c r="B116" s="93" t="s">
        <v>836</v>
      </c>
      <c r="C116" s="93" t="s">
        <v>834</v>
      </c>
      <c r="D116" s="94" t="str">
        <f t="shared" si="1"/>
        <v>None</v>
      </c>
      <c r="E116" s="95">
        <v>2.00114599E8</v>
      </c>
    </row>
    <row r="117">
      <c r="A117" s="93" t="s">
        <v>99</v>
      </c>
      <c r="B117" s="93" t="s">
        <v>1140</v>
      </c>
      <c r="C117" s="93" t="s">
        <v>1139</v>
      </c>
      <c r="D117" s="94" t="str">
        <f t="shared" si="1"/>
        <v>None</v>
      </c>
      <c r="E117" s="95">
        <v>2.0011462E8</v>
      </c>
    </row>
    <row r="118">
      <c r="A118" s="93" t="s">
        <v>988</v>
      </c>
      <c r="B118" s="93" t="s">
        <v>989</v>
      </c>
      <c r="C118" s="93" t="s">
        <v>987</v>
      </c>
      <c r="D118" s="94" t="str">
        <f t="shared" si="1"/>
        <v>None</v>
      </c>
      <c r="E118" s="95">
        <v>2.00114647E8</v>
      </c>
    </row>
    <row r="119">
      <c r="A119" s="93" t="s">
        <v>639</v>
      </c>
      <c r="B119" s="93" t="s">
        <v>640</v>
      </c>
      <c r="C119" s="93" t="s">
        <v>641</v>
      </c>
      <c r="D119" s="94" t="str">
        <f t="shared" si="1"/>
        <v>None</v>
      </c>
      <c r="E119" s="95">
        <v>2.00114869E8</v>
      </c>
    </row>
    <row r="120">
      <c r="A120" s="93" t="s">
        <v>200</v>
      </c>
      <c r="B120" s="93" t="s">
        <v>1515</v>
      </c>
      <c r="C120" s="93" t="s">
        <v>1516</v>
      </c>
      <c r="D120" s="94" t="str">
        <f t="shared" si="1"/>
        <v>None</v>
      </c>
      <c r="E120" s="95">
        <v>2.00114883E8</v>
      </c>
    </row>
    <row r="121">
      <c r="A121" s="93" t="s">
        <v>1519</v>
      </c>
      <c r="B121" s="93" t="s">
        <v>1522</v>
      </c>
      <c r="C121" s="93" t="s">
        <v>1523</v>
      </c>
      <c r="D121" s="94" t="str">
        <f t="shared" si="1"/>
        <v>None</v>
      </c>
      <c r="E121" s="95">
        <v>2.00114952E8</v>
      </c>
    </row>
    <row r="122">
      <c r="A122" s="93" t="s">
        <v>1377</v>
      </c>
      <c r="B122" s="93" t="s">
        <v>1378</v>
      </c>
      <c r="C122" s="93" t="s">
        <v>1376</v>
      </c>
      <c r="D122" s="94" t="str">
        <f t="shared" si="1"/>
        <v>None</v>
      </c>
      <c r="E122" s="95">
        <v>2.00115045E8</v>
      </c>
    </row>
    <row r="123">
      <c r="A123" s="93" t="s">
        <v>1525</v>
      </c>
      <c r="B123" s="93" t="s">
        <v>1526</v>
      </c>
      <c r="C123" s="93" t="s">
        <v>1527</v>
      </c>
      <c r="D123" s="94" t="str">
        <f t="shared" si="1"/>
        <v>None</v>
      </c>
      <c r="E123" s="95">
        <v>2.00115139E8</v>
      </c>
    </row>
    <row r="124">
      <c r="A124" s="93" t="s">
        <v>406</v>
      </c>
      <c r="B124" s="93" t="s">
        <v>950</v>
      </c>
      <c r="C124" s="93" t="s">
        <v>949</v>
      </c>
      <c r="D124" s="94" t="str">
        <f t="shared" si="1"/>
        <v>None</v>
      </c>
      <c r="E124" s="95">
        <v>2.00115159E8</v>
      </c>
    </row>
    <row r="125">
      <c r="A125" s="93" t="s">
        <v>258</v>
      </c>
      <c r="B125" s="93" t="s">
        <v>1278</v>
      </c>
      <c r="C125" s="93" t="s">
        <v>1277</v>
      </c>
      <c r="D125" s="94" t="str">
        <f t="shared" si="1"/>
        <v>None</v>
      </c>
      <c r="E125" s="95">
        <v>2.00115775E8</v>
      </c>
    </row>
    <row r="126">
      <c r="A126" s="93" t="s">
        <v>174</v>
      </c>
      <c r="B126" s="93" t="s">
        <v>788</v>
      </c>
      <c r="C126" s="93" t="s">
        <v>787</v>
      </c>
      <c r="D126" s="94" t="str">
        <f t="shared" si="1"/>
        <v>None</v>
      </c>
      <c r="E126" s="95">
        <v>2.00116919E8</v>
      </c>
    </row>
    <row r="127">
      <c r="A127" s="93" t="s">
        <v>1380</v>
      </c>
      <c r="B127" s="93" t="s">
        <v>1381</v>
      </c>
      <c r="C127" s="93" t="s">
        <v>1382</v>
      </c>
      <c r="D127" s="94" t="str">
        <f t="shared" si="1"/>
        <v>None</v>
      </c>
      <c r="E127" s="95">
        <v>2.001215E8</v>
      </c>
    </row>
    <row r="128">
      <c r="A128" s="93" t="s">
        <v>387</v>
      </c>
      <c r="B128" s="93" t="s">
        <v>1322</v>
      </c>
      <c r="C128" s="93" t="s">
        <v>1321</v>
      </c>
      <c r="D128" s="94" t="str">
        <f t="shared" si="1"/>
        <v>None</v>
      </c>
      <c r="E128" s="95">
        <v>2.00121532E8</v>
      </c>
    </row>
    <row r="129">
      <c r="A129" s="93" t="s">
        <v>427</v>
      </c>
      <c r="B129" s="93" t="s">
        <v>429</v>
      </c>
      <c r="C129" s="93" t="s">
        <v>430</v>
      </c>
      <c r="D129" s="94" t="str">
        <f t="shared" si="1"/>
        <v>None</v>
      </c>
      <c r="E129" s="95">
        <v>2.00121619E8</v>
      </c>
    </row>
    <row r="130">
      <c r="A130" s="93" t="s">
        <v>249</v>
      </c>
      <c r="B130" s="93" t="s">
        <v>1246</v>
      </c>
      <c r="C130" s="93" t="s">
        <v>1245</v>
      </c>
      <c r="D130" s="94" t="str">
        <f t="shared" si="1"/>
        <v>None</v>
      </c>
      <c r="E130" s="95">
        <v>2.0012166E8</v>
      </c>
    </row>
    <row r="131">
      <c r="A131" s="93" t="s">
        <v>1051</v>
      </c>
      <c r="B131" s="93" t="s">
        <v>1052</v>
      </c>
      <c r="C131" s="93" t="s">
        <v>1050</v>
      </c>
      <c r="D131" s="94" t="str">
        <f t="shared" si="1"/>
        <v>None</v>
      </c>
      <c r="E131" s="95">
        <v>2.0012171E8</v>
      </c>
    </row>
    <row r="132">
      <c r="A132" s="93" t="s">
        <v>116</v>
      </c>
      <c r="B132" s="93" t="s">
        <v>685</v>
      </c>
      <c r="C132" s="93" t="s">
        <v>684</v>
      </c>
      <c r="D132" s="94" t="str">
        <f t="shared" si="1"/>
        <v>None</v>
      </c>
      <c r="E132" s="95">
        <v>2.00121778E8</v>
      </c>
    </row>
    <row r="133">
      <c r="A133" s="93" t="s">
        <v>230</v>
      </c>
      <c r="B133" s="93" t="s">
        <v>1175</v>
      </c>
      <c r="C133" s="93" t="s">
        <v>1174</v>
      </c>
      <c r="D133" s="94" t="str">
        <f t="shared" si="1"/>
        <v>None</v>
      </c>
      <c r="E133" s="95">
        <v>2.00121806E8</v>
      </c>
    </row>
    <row r="134">
      <c r="A134" s="93" t="s">
        <v>102</v>
      </c>
      <c r="B134" s="93" t="s">
        <v>1396</v>
      </c>
      <c r="C134" s="93" t="s">
        <v>1397</v>
      </c>
      <c r="D134" s="94" t="str">
        <f t="shared" si="1"/>
        <v>None</v>
      </c>
      <c r="E134" s="95">
        <v>2.00121893E8</v>
      </c>
    </row>
    <row r="135">
      <c r="A135" s="93" t="s">
        <v>1402</v>
      </c>
      <c r="B135" s="93" t="s">
        <v>1407</v>
      </c>
      <c r="C135" s="93" t="s">
        <v>1408</v>
      </c>
      <c r="D135" s="94" t="str">
        <f t="shared" si="1"/>
        <v>None</v>
      </c>
      <c r="E135" s="95">
        <v>2.00121943E8</v>
      </c>
    </row>
    <row r="136">
      <c r="A136" s="93" t="s">
        <v>158</v>
      </c>
      <c r="B136" s="93" t="s">
        <v>1389</v>
      </c>
      <c r="C136" s="93" t="s">
        <v>1388</v>
      </c>
      <c r="D136" s="94" t="str">
        <f t="shared" si="1"/>
        <v>None</v>
      </c>
      <c r="E136" s="95">
        <v>2.00121975E8</v>
      </c>
    </row>
    <row r="137">
      <c r="A137" s="93" t="s">
        <v>212</v>
      </c>
      <c r="B137" s="93" t="s">
        <v>1070</v>
      </c>
      <c r="C137" s="93" t="s">
        <v>1069</v>
      </c>
      <c r="D137" s="94" t="str">
        <f t="shared" si="1"/>
        <v>None</v>
      </c>
      <c r="E137" s="95">
        <v>2.00121982E8</v>
      </c>
    </row>
    <row r="138">
      <c r="A138" s="93" t="s">
        <v>209</v>
      </c>
      <c r="B138" s="93" t="s">
        <v>1117</v>
      </c>
      <c r="C138" s="93" t="s">
        <v>1116</v>
      </c>
      <c r="D138" s="94" t="str">
        <f t="shared" si="1"/>
        <v>None</v>
      </c>
      <c r="E138" s="95">
        <v>2.00121992E8</v>
      </c>
    </row>
    <row r="139">
      <c r="A139" s="93" t="s">
        <v>173</v>
      </c>
      <c r="B139" s="93" t="s">
        <v>780</v>
      </c>
      <c r="C139" s="93" t="s">
        <v>779</v>
      </c>
      <c r="D139" s="94" t="str">
        <f t="shared" si="1"/>
        <v>None</v>
      </c>
      <c r="E139" s="95">
        <v>2.00134986E8</v>
      </c>
    </row>
    <row r="140">
      <c r="A140" s="93" t="s">
        <v>1368</v>
      </c>
      <c r="B140" s="93" t="s">
        <v>1369</v>
      </c>
      <c r="C140" s="93" t="s">
        <v>1370</v>
      </c>
      <c r="D140" s="94" t="str">
        <f t="shared" si="1"/>
        <v>None</v>
      </c>
      <c r="E140" s="95">
        <v>2.00137144E8</v>
      </c>
    </row>
    <row r="141">
      <c r="A141" s="93" t="s">
        <v>1372</v>
      </c>
      <c r="B141" s="93" t="s">
        <v>1373</v>
      </c>
      <c r="C141" s="93" t="s">
        <v>1374</v>
      </c>
      <c r="D141" s="94" t="str">
        <f t="shared" si="1"/>
        <v>None</v>
      </c>
      <c r="E141" s="95">
        <v>2.0013764E8</v>
      </c>
    </row>
    <row r="142">
      <c r="A142" s="93" t="s">
        <v>1335</v>
      </c>
      <c r="B142" s="93" t="s">
        <v>1338</v>
      </c>
      <c r="C142" s="93" t="s">
        <v>1339</v>
      </c>
      <c r="D142" s="94" t="str">
        <f t="shared" si="1"/>
        <v>None</v>
      </c>
      <c r="E142" s="95">
        <v>2.0014171E8</v>
      </c>
    </row>
    <row r="143">
      <c r="A143" s="93" t="s">
        <v>391</v>
      </c>
      <c r="B143" s="93" t="s">
        <v>1341</v>
      </c>
      <c r="C143" s="93" t="s">
        <v>1342</v>
      </c>
      <c r="D143" s="94" t="str">
        <f t="shared" si="1"/>
        <v>None</v>
      </c>
      <c r="E143" s="95">
        <v>2.00141759E8</v>
      </c>
    </row>
    <row r="144">
      <c r="A144" s="93" t="s">
        <v>961</v>
      </c>
      <c r="B144" s="93" t="s">
        <v>962</v>
      </c>
      <c r="C144" s="93" t="s">
        <v>960</v>
      </c>
      <c r="D144" s="94" t="str">
        <f t="shared" si="1"/>
        <v>None</v>
      </c>
      <c r="E144" s="95">
        <v>2.00141915E8</v>
      </c>
    </row>
    <row r="145">
      <c r="A145" s="93" t="s">
        <v>1344</v>
      </c>
      <c r="B145" s="93" t="s">
        <v>1348</v>
      </c>
      <c r="C145" s="93" t="s">
        <v>1349</v>
      </c>
      <c r="D145" s="94" t="str">
        <f t="shared" si="1"/>
        <v>None</v>
      </c>
      <c r="E145" s="95">
        <v>2.00142705E8</v>
      </c>
    </row>
    <row r="146">
      <c r="A146" s="93" t="s">
        <v>978</v>
      </c>
      <c r="B146" s="93" t="s">
        <v>1354</v>
      </c>
      <c r="C146" s="93" t="s">
        <v>977</v>
      </c>
      <c r="D146" s="94" t="str">
        <f t="shared" si="1"/>
        <v>None</v>
      </c>
      <c r="E146" s="95">
        <v>2.00143017E8</v>
      </c>
    </row>
    <row r="147">
      <c r="A147" s="93" t="s">
        <v>154</v>
      </c>
      <c r="B147" s="93" t="s">
        <v>1135</v>
      </c>
      <c r="C147" s="93" t="s">
        <v>1134</v>
      </c>
      <c r="D147" s="94" t="str">
        <f t="shared" si="1"/>
        <v>None</v>
      </c>
      <c r="E147" s="95">
        <v>2.00143132E8</v>
      </c>
    </row>
    <row r="148">
      <c r="A148" s="93" t="s">
        <v>1357</v>
      </c>
      <c r="B148" s="93" t="s">
        <v>1358</v>
      </c>
      <c r="C148" s="93" t="s">
        <v>1359</v>
      </c>
      <c r="D148" s="94" t="str">
        <f t="shared" si="1"/>
        <v>None</v>
      </c>
      <c r="E148" s="95">
        <v>2.00143652E8</v>
      </c>
    </row>
    <row r="149">
      <c r="A149" s="93" t="s">
        <v>241</v>
      </c>
      <c r="B149" s="93" t="s">
        <v>1205</v>
      </c>
      <c r="C149" s="93" t="s">
        <v>1204</v>
      </c>
      <c r="D149" s="94" t="str">
        <f t="shared" si="1"/>
        <v>None</v>
      </c>
      <c r="E149" s="95">
        <v>2.00143761E8</v>
      </c>
    </row>
    <row r="150">
      <c r="A150" s="93" t="s">
        <v>270</v>
      </c>
      <c r="B150" s="93" t="s">
        <v>1346</v>
      </c>
      <c r="C150" s="93" t="s">
        <v>1345</v>
      </c>
      <c r="D150" s="94" t="str">
        <f t="shared" si="1"/>
        <v>None</v>
      </c>
      <c r="E150" s="95">
        <v>2.00144021E8</v>
      </c>
    </row>
    <row r="151">
      <c r="A151" s="93" t="s">
        <v>1294</v>
      </c>
      <c r="B151" s="93" t="s">
        <v>1299</v>
      </c>
      <c r="C151" s="93" t="s">
        <v>1300</v>
      </c>
      <c r="D151" s="94" t="str">
        <f t="shared" si="1"/>
        <v>None</v>
      </c>
      <c r="E151" s="95">
        <v>2.00144456E8</v>
      </c>
    </row>
    <row r="152">
      <c r="A152" s="93" t="s">
        <v>253</v>
      </c>
      <c r="B152" s="93" t="s">
        <v>1307</v>
      </c>
      <c r="C152" s="93" t="s">
        <v>1308</v>
      </c>
      <c r="D152" s="94" t="str">
        <f t="shared" si="1"/>
        <v>None</v>
      </c>
      <c r="E152" s="95">
        <v>2.00144751E8</v>
      </c>
    </row>
    <row r="153">
      <c r="A153" s="93" t="s">
        <v>388</v>
      </c>
      <c r="B153" s="93" t="s">
        <v>422</v>
      </c>
      <c r="C153" s="93" t="s">
        <v>423</v>
      </c>
      <c r="D153" s="94" t="str">
        <f t="shared" si="1"/>
        <v>None</v>
      </c>
      <c r="E153" s="95">
        <v>2.00144995E8</v>
      </c>
    </row>
    <row r="154">
      <c r="A154" s="93" t="s">
        <v>187</v>
      </c>
      <c r="B154" s="93" t="s">
        <v>970</v>
      </c>
      <c r="C154" s="93" t="s">
        <v>967</v>
      </c>
      <c r="D154" s="94" t="str">
        <f t="shared" si="1"/>
        <v>None</v>
      </c>
      <c r="E154" s="95">
        <v>2.00145085E8</v>
      </c>
    </row>
    <row r="155">
      <c r="A155" s="93" t="s">
        <v>103</v>
      </c>
      <c r="B155" s="93" t="s">
        <v>1313</v>
      </c>
      <c r="C155" s="93" t="s">
        <v>1314</v>
      </c>
      <c r="D155" s="94" t="str">
        <f t="shared" si="1"/>
        <v>None</v>
      </c>
      <c r="E155" s="95">
        <v>2.00145232E8</v>
      </c>
    </row>
    <row r="156">
      <c r="A156" s="93" t="s">
        <v>389</v>
      </c>
      <c r="B156" s="93" t="s">
        <v>1319</v>
      </c>
      <c r="C156" s="93" t="s">
        <v>1320</v>
      </c>
      <c r="D156" s="94" t="str">
        <f t="shared" si="1"/>
        <v>None</v>
      </c>
      <c r="E156" s="95">
        <v>2.0014602E8</v>
      </c>
    </row>
    <row r="157">
      <c r="A157" s="93" t="s">
        <v>312</v>
      </c>
      <c r="B157" s="93" t="s">
        <v>1324</v>
      </c>
      <c r="C157" s="93" t="s">
        <v>1325</v>
      </c>
      <c r="D157" s="94" t="str">
        <f t="shared" si="1"/>
        <v>None</v>
      </c>
      <c r="E157" s="95">
        <v>2.00146341E8</v>
      </c>
    </row>
    <row r="158">
      <c r="A158" s="93" t="s">
        <v>1327</v>
      </c>
      <c r="B158" s="93" t="s">
        <v>1328</v>
      </c>
      <c r="C158" s="93" t="s">
        <v>1329</v>
      </c>
      <c r="D158" s="94" t="str">
        <f t="shared" si="1"/>
        <v>None</v>
      </c>
      <c r="E158" s="95">
        <v>2.00146505E8</v>
      </c>
    </row>
    <row r="159">
      <c r="A159" s="93" t="s">
        <v>585</v>
      </c>
      <c r="B159" s="93" t="s">
        <v>586</v>
      </c>
      <c r="C159" s="93" t="s">
        <v>584</v>
      </c>
      <c r="D159" s="94" t="str">
        <f t="shared" si="1"/>
        <v>None</v>
      </c>
      <c r="E159" s="95">
        <v>2.00146511E8</v>
      </c>
    </row>
    <row r="160">
      <c r="A160" s="93" t="s">
        <v>372</v>
      </c>
      <c r="B160" s="93" t="s">
        <v>1014</v>
      </c>
      <c r="C160" s="93" t="s">
        <v>1013</v>
      </c>
      <c r="D160" s="94" t="str">
        <f t="shared" si="1"/>
        <v>None</v>
      </c>
      <c r="E160" s="95">
        <v>2.00146993E8</v>
      </c>
    </row>
    <row r="161">
      <c r="A161" s="93" t="s">
        <v>202</v>
      </c>
      <c r="B161" s="93" t="s">
        <v>1248</v>
      </c>
      <c r="C161" s="93" t="s">
        <v>1249</v>
      </c>
      <c r="D161" s="94" t="str">
        <f t="shared" si="1"/>
        <v>None</v>
      </c>
      <c r="E161" s="95">
        <v>2.00147335E8</v>
      </c>
    </row>
    <row r="162">
      <c r="A162" s="93" t="s">
        <v>328</v>
      </c>
      <c r="B162" s="93" t="s">
        <v>408</v>
      </c>
      <c r="C162" s="93" t="s">
        <v>409</v>
      </c>
      <c r="D162" s="94" t="str">
        <f t="shared" si="1"/>
        <v>None</v>
      </c>
      <c r="E162" s="95">
        <v>2.00147555E8</v>
      </c>
    </row>
    <row r="163">
      <c r="A163" s="93" t="s">
        <v>635</v>
      </c>
      <c r="B163" s="93" t="s">
        <v>636</v>
      </c>
      <c r="C163" s="93" t="s">
        <v>637</v>
      </c>
      <c r="D163" s="94" t="str">
        <f t="shared" si="1"/>
        <v>None</v>
      </c>
      <c r="E163" s="95">
        <v>2.00147588E8</v>
      </c>
    </row>
    <row r="164">
      <c r="A164" s="93" t="s">
        <v>127</v>
      </c>
      <c r="B164" s="93" t="s">
        <v>713</v>
      </c>
      <c r="C164" s="93" t="s">
        <v>712</v>
      </c>
      <c r="D164" s="94" t="str">
        <f t="shared" si="1"/>
        <v>None</v>
      </c>
      <c r="E164" s="95">
        <v>2.00147607E8</v>
      </c>
    </row>
    <row r="165">
      <c r="A165" s="93" t="s">
        <v>1261</v>
      </c>
      <c r="B165" s="93" t="s">
        <v>1263</v>
      </c>
      <c r="C165" s="93" t="s">
        <v>1264</v>
      </c>
      <c r="D165" s="94" t="str">
        <f t="shared" si="1"/>
        <v>None</v>
      </c>
      <c r="E165" s="95">
        <v>2.00147663E8</v>
      </c>
    </row>
    <row r="166">
      <c r="A166" s="93" t="s">
        <v>327</v>
      </c>
      <c r="B166" s="93" t="s">
        <v>1268</v>
      </c>
      <c r="C166" s="93" t="s">
        <v>1269</v>
      </c>
      <c r="D166" s="94" t="str">
        <f t="shared" si="1"/>
        <v>None</v>
      </c>
      <c r="E166" s="95">
        <v>2.00147707E8</v>
      </c>
    </row>
    <row r="167">
      <c r="A167" s="93" t="s">
        <v>298</v>
      </c>
      <c r="B167" s="93" t="s">
        <v>1274</v>
      </c>
      <c r="C167" s="93" t="s">
        <v>1275</v>
      </c>
      <c r="D167" s="94" t="str">
        <f t="shared" si="1"/>
        <v>None</v>
      </c>
      <c r="E167" s="95">
        <v>2.00147725E8</v>
      </c>
    </row>
    <row r="168">
      <c r="A168" s="93" t="s">
        <v>356</v>
      </c>
      <c r="B168" s="93" t="s">
        <v>416</v>
      </c>
      <c r="C168" s="93" t="s">
        <v>417</v>
      </c>
      <c r="D168" s="94" t="str">
        <f t="shared" si="1"/>
        <v>None</v>
      </c>
      <c r="E168" s="95">
        <v>2.00147889E8</v>
      </c>
    </row>
    <row r="169">
      <c r="A169" s="93" t="s">
        <v>1276</v>
      </c>
      <c r="B169" s="93" t="s">
        <v>1279</v>
      </c>
      <c r="C169" s="93" t="s">
        <v>1280</v>
      </c>
      <c r="D169" s="94" t="str">
        <f t="shared" si="1"/>
        <v>None</v>
      </c>
      <c r="E169" s="95">
        <v>2.00147981E8</v>
      </c>
    </row>
    <row r="170">
      <c r="A170" s="93" t="s">
        <v>467</v>
      </c>
      <c r="B170" s="93" t="s">
        <v>469</v>
      </c>
      <c r="C170" s="93" t="s">
        <v>466</v>
      </c>
      <c r="D170" s="94" t="str">
        <f t="shared" si="1"/>
        <v>None</v>
      </c>
      <c r="E170" s="95">
        <v>2.00148155E8</v>
      </c>
    </row>
    <row r="171">
      <c r="A171" s="93" t="s">
        <v>161</v>
      </c>
      <c r="B171" s="93" t="s">
        <v>1123</v>
      </c>
      <c r="C171" s="93" t="s">
        <v>1122</v>
      </c>
      <c r="D171" s="94" t="str">
        <f t="shared" si="1"/>
        <v>None</v>
      </c>
      <c r="E171" s="95">
        <v>2.00148716E8</v>
      </c>
    </row>
    <row r="172">
      <c r="A172" s="93" t="s">
        <v>611</v>
      </c>
      <c r="B172" s="93" t="s">
        <v>612</v>
      </c>
      <c r="C172" s="93" t="s">
        <v>610</v>
      </c>
      <c r="D172" s="94" t="str">
        <f t="shared" si="1"/>
        <v>None</v>
      </c>
      <c r="E172" s="95">
        <v>2.00148787E8</v>
      </c>
    </row>
    <row r="173">
      <c r="A173" s="93" t="s">
        <v>151</v>
      </c>
      <c r="B173" s="93" t="s">
        <v>1290</v>
      </c>
      <c r="C173" s="93" t="s">
        <v>1291</v>
      </c>
      <c r="D173" s="94" t="str">
        <f t="shared" si="1"/>
        <v>None</v>
      </c>
      <c r="E173" s="95">
        <v>2.00148881E8</v>
      </c>
    </row>
    <row r="174">
      <c r="A174" s="93" t="s">
        <v>594</v>
      </c>
      <c r="B174" s="93" t="s">
        <v>595</v>
      </c>
      <c r="C174" s="93" t="s">
        <v>593</v>
      </c>
      <c r="D174" s="94" t="str">
        <f t="shared" si="1"/>
        <v>None</v>
      </c>
      <c r="E174" s="95">
        <v>2.00149978E8</v>
      </c>
    </row>
    <row r="175">
      <c r="A175" s="93" t="s">
        <v>194</v>
      </c>
      <c r="B175" s="93" t="s">
        <v>201</v>
      </c>
      <c r="C175" s="93" t="s">
        <v>203</v>
      </c>
      <c r="D175" s="94" t="str">
        <f t="shared" si="1"/>
        <v>None</v>
      </c>
      <c r="E175" s="95">
        <v>2.00150496E8</v>
      </c>
    </row>
    <row r="176">
      <c r="A176" s="93" t="s">
        <v>491</v>
      </c>
      <c r="B176" s="93" t="s">
        <v>492</v>
      </c>
      <c r="C176" s="93" t="s">
        <v>490</v>
      </c>
      <c r="D176" s="94" t="str">
        <f t="shared" si="1"/>
        <v>None</v>
      </c>
      <c r="E176" s="95">
        <v>2.00150813E8</v>
      </c>
    </row>
    <row r="177">
      <c r="A177" s="93" t="s">
        <v>309</v>
      </c>
      <c r="B177" s="93" t="s">
        <v>1216</v>
      </c>
      <c r="C177" s="93" t="s">
        <v>1217</v>
      </c>
      <c r="D177" s="94" t="str">
        <f t="shared" si="1"/>
        <v>None</v>
      </c>
      <c r="E177" s="95">
        <v>2.00151008E8</v>
      </c>
    </row>
    <row r="178">
      <c r="A178" s="93" t="s">
        <v>259</v>
      </c>
      <c r="B178" s="93" t="s">
        <v>1222</v>
      </c>
      <c r="C178" s="93" t="s">
        <v>1223</v>
      </c>
      <c r="D178" s="94" t="str">
        <f t="shared" si="1"/>
        <v>None</v>
      </c>
      <c r="E178" s="95">
        <v>2.00151385E8</v>
      </c>
    </row>
    <row r="179">
      <c r="A179" s="93" t="s">
        <v>205</v>
      </c>
      <c r="B179" s="93" t="s">
        <v>1208</v>
      </c>
      <c r="C179" s="93" t="s">
        <v>1207</v>
      </c>
      <c r="D179" s="94" t="str">
        <f t="shared" si="1"/>
        <v>None</v>
      </c>
      <c r="E179" s="95">
        <v>2.00151398E8</v>
      </c>
    </row>
    <row r="180">
      <c r="A180" s="93" t="s">
        <v>1231</v>
      </c>
      <c r="B180" s="93" t="s">
        <v>1232</v>
      </c>
      <c r="C180" s="93" t="s">
        <v>1233</v>
      </c>
      <c r="D180" s="94" t="str">
        <f t="shared" si="1"/>
        <v>None</v>
      </c>
      <c r="E180" s="95">
        <v>2.00151899E8</v>
      </c>
    </row>
    <row r="181">
      <c r="A181" s="93" t="s">
        <v>275</v>
      </c>
      <c r="B181" s="93" t="s">
        <v>1235</v>
      </c>
      <c r="C181" s="93" t="s">
        <v>1236</v>
      </c>
      <c r="D181" s="94" t="str">
        <f t="shared" si="1"/>
        <v>None</v>
      </c>
      <c r="E181" s="95">
        <v>2.00152279E8</v>
      </c>
    </row>
    <row r="182">
      <c r="A182" s="93" t="s">
        <v>134</v>
      </c>
      <c r="B182" s="93" t="s">
        <v>220</v>
      </c>
      <c r="C182" s="93" t="s">
        <v>221</v>
      </c>
      <c r="D182" s="94" t="str">
        <f t="shared" si="1"/>
        <v>None</v>
      </c>
      <c r="E182" s="95">
        <v>2.00152388E8</v>
      </c>
    </row>
    <row r="183">
      <c r="A183" s="93" t="s">
        <v>1241</v>
      </c>
      <c r="B183" s="93" t="s">
        <v>1243</v>
      </c>
      <c r="C183" s="93" t="s">
        <v>1244</v>
      </c>
      <c r="D183" s="94" t="str">
        <f t="shared" si="1"/>
        <v>None</v>
      </c>
      <c r="E183" s="95">
        <v>2.0015305E8</v>
      </c>
    </row>
    <row r="184">
      <c r="A184" s="93" t="s">
        <v>1164</v>
      </c>
      <c r="B184" s="93" t="s">
        <v>1169</v>
      </c>
      <c r="C184" s="93" t="s">
        <v>1170</v>
      </c>
      <c r="D184" s="94" t="str">
        <f t="shared" si="1"/>
        <v>None</v>
      </c>
      <c r="E184" s="95">
        <v>2.00153327E8</v>
      </c>
    </row>
    <row r="185">
      <c r="A185" s="93" t="s">
        <v>237</v>
      </c>
      <c r="B185" s="93" t="s">
        <v>1172</v>
      </c>
      <c r="C185" s="93" t="s">
        <v>1173</v>
      </c>
      <c r="D185" s="94" t="str">
        <f t="shared" si="1"/>
        <v>None</v>
      </c>
      <c r="E185" s="95">
        <v>2.00153616E8</v>
      </c>
    </row>
    <row r="186">
      <c r="A186" s="93" t="s">
        <v>1177</v>
      </c>
      <c r="B186" s="93" t="s">
        <v>1178</v>
      </c>
      <c r="C186" s="93" t="s">
        <v>1179</v>
      </c>
      <c r="D186" s="94" t="str">
        <f t="shared" si="1"/>
        <v>None</v>
      </c>
      <c r="E186" s="95">
        <v>2.0015366E8</v>
      </c>
    </row>
    <row r="187">
      <c r="A187" s="93" t="s">
        <v>311</v>
      </c>
      <c r="B187" s="93" t="s">
        <v>1185</v>
      </c>
      <c r="C187" s="93" t="s">
        <v>1186</v>
      </c>
      <c r="D187" s="94" t="str">
        <f t="shared" si="1"/>
        <v>None</v>
      </c>
      <c r="E187" s="95">
        <v>2.00154225E8</v>
      </c>
    </row>
    <row r="188">
      <c r="A188" s="93" t="s">
        <v>93</v>
      </c>
      <c r="B188" s="93" t="s">
        <v>437</v>
      </c>
      <c r="C188" s="93" t="s">
        <v>438</v>
      </c>
      <c r="D188" s="94" t="str">
        <f t="shared" si="1"/>
        <v>None</v>
      </c>
      <c r="E188" s="95">
        <v>2.00154571E8</v>
      </c>
    </row>
    <row r="189">
      <c r="A189" s="93" t="s">
        <v>79</v>
      </c>
      <c r="B189" s="93" t="s">
        <v>527</v>
      </c>
      <c r="C189" s="93" t="s">
        <v>526</v>
      </c>
      <c r="D189" s="94" t="str">
        <f t="shared" si="1"/>
        <v>None</v>
      </c>
      <c r="E189" s="95">
        <v>2.00154819E8</v>
      </c>
    </row>
    <row r="190">
      <c r="A190" s="93" t="s">
        <v>378</v>
      </c>
      <c r="B190" s="93" t="s">
        <v>1193</v>
      </c>
      <c r="C190" s="93" t="s">
        <v>1194</v>
      </c>
      <c r="D190" s="94" t="str">
        <f t="shared" si="1"/>
        <v>None</v>
      </c>
      <c r="E190" s="95">
        <v>2.00155064E8</v>
      </c>
    </row>
    <row r="191">
      <c r="A191" s="93" t="s">
        <v>1196</v>
      </c>
      <c r="B191" s="93" t="s">
        <v>1197</v>
      </c>
      <c r="C191" s="93" t="s">
        <v>1198</v>
      </c>
      <c r="D191" s="94" t="str">
        <f t="shared" si="1"/>
        <v>None</v>
      </c>
      <c r="E191" s="95">
        <v>2.00155307E8</v>
      </c>
    </row>
    <row r="192">
      <c r="A192" s="93" t="s">
        <v>627</v>
      </c>
      <c r="B192" s="93" t="s">
        <v>628</v>
      </c>
      <c r="C192" s="93" t="s">
        <v>629</v>
      </c>
      <c r="D192" s="94" t="str">
        <f t="shared" si="1"/>
        <v>None</v>
      </c>
      <c r="E192" s="95">
        <v>2.00156279E8</v>
      </c>
    </row>
    <row r="193">
      <c r="A193" s="93" t="s">
        <v>631</v>
      </c>
      <c r="B193" s="93" t="s">
        <v>632</v>
      </c>
      <c r="C193" s="93" t="s">
        <v>633</v>
      </c>
      <c r="D193" s="94" t="str">
        <f t="shared" si="1"/>
        <v>None</v>
      </c>
      <c r="E193" s="95">
        <v>2.0015636E8</v>
      </c>
    </row>
    <row r="194">
      <c r="A194" s="93" t="s">
        <v>287</v>
      </c>
      <c r="B194" s="93" t="s">
        <v>1137</v>
      </c>
      <c r="C194" s="93" t="s">
        <v>1138</v>
      </c>
      <c r="D194" s="94" t="str">
        <f t="shared" si="1"/>
        <v>None</v>
      </c>
      <c r="E194" s="95">
        <v>2.00156821E8</v>
      </c>
    </row>
    <row r="195">
      <c r="A195" s="93" t="s">
        <v>247</v>
      </c>
      <c r="B195" s="93" t="s">
        <v>399</v>
      </c>
      <c r="C195" s="93" t="s">
        <v>398</v>
      </c>
      <c r="D195" s="94" t="str">
        <f t="shared" si="1"/>
        <v>None</v>
      </c>
      <c r="E195" s="95">
        <v>2.00157112E8</v>
      </c>
    </row>
    <row r="196">
      <c r="A196" s="93" t="s">
        <v>229</v>
      </c>
      <c r="B196" s="93" t="s">
        <v>1146</v>
      </c>
      <c r="C196" s="93" t="s">
        <v>1147</v>
      </c>
      <c r="D196" s="94" t="str">
        <f t="shared" si="1"/>
        <v>None</v>
      </c>
      <c r="E196" s="95">
        <v>2.00157691E8</v>
      </c>
    </row>
    <row r="197">
      <c r="A197" s="93" t="s">
        <v>198</v>
      </c>
      <c r="B197" s="93" t="s">
        <v>994</v>
      </c>
      <c r="C197" s="93" t="s">
        <v>993</v>
      </c>
      <c r="D197" s="94" t="str">
        <f t="shared" si="1"/>
        <v>None</v>
      </c>
      <c r="E197" s="95">
        <v>2.00158463E8</v>
      </c>
    </row>
    <row r="198">
      <c r="A198" s="93" t="s">
        <v>122</v>
      </c>
      <c r="B198" s="93" t="s">
        <v>1157</v>
      </c>
      <c r="C198" s="93" t="s">
        <v>1158</v>
      </c>
      <c r="D198" s="94" t="str">
        <f t="shared" si="1"/>
        <v>None</v>
      </c>
      <c r="E198" s="95">
        <v>2.00158544E8</v>
      </c>
    </row>
    <row r="199">
      <c r="A199" s="93" t="s">
        <v>89</v>
      </c>
      <c r="B199" s="93" t="s">
        <v>91</v>
      </c>
      <c r="C199" s="93" t="s">
        <v>86</v>
      </c>
      <c r="D199" s="94" t="str">
        <f t="shared" si="1"/>
        <v>None</v>
      </c>
      <c r="E199" s="95">
        <v>2.00158827E8</v>
      </c>
    </row>
    <row r="200">
      <c r="A200" s="93" t="s">
        <v>330</v>
      </c>
      <c r="B200" s="93" t="s">
        <v>1161</v>
      </c>
      <c r="C200" s="93" t="s">
        <v>1162</v>
      </c>
      <c r="D200" s="94" t="str">
        <f t="shared" si="1"/>
        <v>None</v>
      </c>
      <c r="E200" s="95">
        <v>2.00159113E8</v>
      </c>
    </row>
    <row r="201">
      <c r="A201" s="93" t="s">
        <v>299</v>
      </c>
      <c r="B201" s="93" t="s">
        <v>947</v>
      </c>
      <c r="C201" s="93" t="s">
        <v>948</v>
      </c>
      <c r="D201" s="94" t="str">
        <f t="shared" si="1"/>
        <v>None</v>
      </c>
      <c r="E201" s="95">
        <v>2.00159728E8</v>
      </c>
    </row>
    <row r="202">
      <c r="A202" s="93" t="s">
        <v>213</v>
      </c>
      <c r="B202" s="93" t="s">
        <v>955</v>
      </c>
      <c r="C202" s="93" t="s">
        <v>957</v>
      </c>
      <c r="D202" s="94" t="str">
        <f t="shared" si="1"/>
        <v>None</v>
      </c>
      <c r="E202" s="95">
        <v>2.00160508E8</v>
      </c>
    </row>
    <row r="203">
      <c r="A203" s="93" t="s">
        <v>371</v>
      </c>
      <c r="B203" s="93" t="s">
        <v>972</v>
      </c>
      <c r="C203" s="93" t="s">
        <v>973</v>
      </c>
      <c r="D203" s="94" t="str">
        <f t="shared" si="1"/>
        <v>None</v>
      </c>
      <c r="E203" s="95">
        <v>2.00160647E8</v>
      </c>
    </row>
    <row r="204">
      <c r="A204" s="98">
        <v>2.0016071E8</v>
      </c>
      <c r="B204" s="96" t="s">
        <v>1536</v>
      </c>
      <c r="C204" s="96" t="s">
        <v>1537</v>
      </c>
      <c r="D204" s="94" t="str">
        <f t="shared" si="1"/>
        <v>None</v>
      </c>
      <c r="E204" s="95">
        <v>2.0016071E8</v>
      </c>
    </row>
    <row r="205">
      <c r="A205" s="93" t="s">
        <v>981</v>
      </c>
      <c r="B205" s="93" t="s">
        <v>985</v>
      </c>
      <c r="C205" s="93" t="s">
        <v>986</v>
      </c>
      <c r="D205" s="94" t="str">
        <f t="shared" si="1"/>
        <v>None</v>
      </c>
      <c r="E205" s="95">
        <v>2.00160765E8</v>
      </c>
    </row>
    <row r="206">
      <c r="A206" s="93" t="s">
        <v>425</v>
      </c>
      <c r="B206" s="93" t="s">
        <v>426</v>
      </c>
      <c r="C206" s="93" t="s">
        <v>424</v>
      </c>
      <c r="D206" s="94" t="str">
        <f t="shared" si="1"/>
        <v>None</v>
      </c>
      <c r="E206" s="95">
        <v>2.00161135E8</v>
      </c>
    </row>
    <row r="207">
      <c r="A207" s="93" t="s">
        <v>214</v>
      </c>
      <c r="B207" s="93" t="s">
        <v>1008</v>
      </c>
      <c r="C207" s="93" t="s">
        <v>1009</v>
      </c>
      <c r="D207" s="94" t="str">
        <f t="shared" si="1"/>
        <v>None</v>
      </c>
      <c r="E207" s="95">
        <v>2.00161275E8</v>
      </c>
    </row>
    <row r="208">
      <c r="A208" s="93" t="s">
        <v>246</v>
      </c>
      <c r="B208" s="93" t="s">
        <v>1018</v>
      </c>
      <c r="C208" s="93" t="s">
        <v>1020</v>
      </c>
      <c r="D208" s="94" t="str">
        <f t="shared" si="1"/>
        <v>None</v>
      </c>
      <c r="E208" s="95">
        <v>2.00161391E8</v>
      </c>
    </row>
    <row r="209">
      <c r="A209" s="93" t="s">
        <v>331</v>
      </c>
      <c r="B209" s="93" t="s">
        <v>1028</v>
      </c>
      <c r="C209" s="93" t="s">
        <v>1030</v>
      </c>
      <c r="D209" s="94" t="str">
        <f t="shared" si="1"/>
        <v>None</v>
      </c>
      <c r="E209" s="95">
        <v>2.00161521E8</v>
      </c>
    </row>
    <row r="210">
      <c r="A210" s="93" t="s">
        <v>375</v>
      </c>
      <c r="B210" s="93" t="s">
        <v>1039</v>
      </c>
      <c r="C210" s="93" t="s">
        <v>1040</v>
      </c>
      <c r="D210" s="94" t="str">
        <f t="shared" si="1"/>
        <v>None</v>
      </c>
      <c r="E210" s="95">
        <v>2.00161621E8</v>
      </c>
    </row>
    <row r="211">
      <c r="A211" s="93" t="s">
        <v>180</v>
      </c>
      <c r="B211" s="93" t="s">
        <v>182</v>
      </c>
      <c r="C211" s="93" t="s">
        <v>178</v>
      </c>
      <c r="D211" s="94" t="str">
        <f t="shared" si="1"/>
        <v>None</v>
      </c>
      <c r="E211" s="95">
        <v>2.00161763E8</v>
      </c>
    </row>
    <row r="212">
      <c r="A212" s="93" t="s">
        <v>461</v>
      </c>
      <c r="B212" s="93" t="s">
        <v>462</v>
      </c>
      <c r="C212" s="93" t="s">
        <v>460</v>
      </c>
      <c r="D212" s="94" t="str">
        <f t="shared" si="1"/>
        <v>None</v>
      </c>
      <c r="E212" s="95">
        <v>2.00162254E8</v>
      </c>
    </row>
    <row r="213">
      <c r="A213" s="93" t="s">
        <v>144</v>
      </c>
      <c r="B213" s="93" t="s">
        <v>1067</v>
      </c>
      <c r="C213" s="93" t="s">
        <v>1068</v>
      </c>
      <c r="D213" s="94" t="str">
        <f t="shared" si="1"/>
        <v>None</v>
      </c>
      <c r="E213" s="95">
        <v>2.00162298E8</v>
      </c>
    </row>
    <row r="214">
      <c r="A214" s="93" t="s">
        <v>95</v>
      </c>
      <c r="B214" s="93" t="s">
        <v>1075</v>
      </c>
      <c r="C214" s="93" t="s">
        <v>1076</v>
      </c>
      <c r="D214" s="94" t="str">
        <f t="shared" si="1"/>
        <v>None</v>
      </c>
      <c r="E214" s="95">
        <v>2.00162375E8</v>
      </c>
    </row>
    <row r="215">
      <c r="A215" s="93" t="s">
        <v>1084</v>
      </c>
      <c r="B215" s="93" t="s">
        <v>1088</v>
      </c>
      <c r="C215" s="93" t="s">
        <v>1089</v>
      </c>
      <c r="D215" s="94" t="str">
        <f t="shared" si="1"/>
        <v>None</v>
      </c>
      <c r="E215" s="95">
        <v>2.00162425E8</v>
      </c>
    </row>
    <row r="216">
      <c r="A216" s="93" t="s">
        <v>434</v>
      </c>
      <c r="B216" s="93" t="s">
        <v>435</v>
      </c>
      <c r="C216" s="93" t="s">
        <v>433</v>
      </c>
      <c r="D216" s="94" t="str">
        <f t="shared" si="1"/>
        <v>None</v>
      </c>
      <c r="E216" s="95">
        <v>2.00162446E8</v>
      </c>
    </row>
    <row r="217">
      <c r="A217" s="93" t="s">
        <v>384</v>
      </c>
      <c r="B217" s="93" t="s">
        <v>1104</v>
      </c>
      <c r="C217" s="93" t="s">
        <v>1105</v>
      </c>
      <c r="D217" s="94" t="str">
        <f t="shared" si="1"/>
        <v>None</v>
      </c>
      <c r="E217" s="95">
        <v>2.00162586E8</v>
      </c>
    </row>
    <row r="218">
      <c r="A218" s="93" t="s">
        <v>121</v>
      </c>
      <c r="B218" s="93" t="s">
        <v>703</v>
      </c>
      <c r="C218" s="93" t="s">
        <v>702</v>
      </c>
      <c r="D218" s="94" t="str">
        <f t="shared" si="1"/>
        <v>None</v>
      </c>
      <c r="E218" s="95">
        <v>2.0016265E8</v>
      </c>
    </row>
    <row r="219">
      <c r="A219" s="93" t="s">
        <v>283</v>
      </c>
      <c r="B219" s="93" t="s">
        <v>1128</v>
      </c>
      <c r="C219" s="93" t="s">
        <v>1129</v>
      </c>
      <c r="D219" s="94" t="str">
        <f t="shared" si="1"/>
        <v>None</v>
      </c>
      <c r="E219" s="95">
        <v>2.00162658E8</v>
      </c>
    </row>
    <row r="220">
      <c r="A220" s="93" t="s">
        <v>334</v>
      </c>
      <c r="B220" s="93" t="s">
        <v>864</v>
      </c>
      <c r="C220" s="93" t="s">
        <v>865</v>
      </c>
      <c r="D220" s="94" t="str">
        <f t="shared" si="1"/>
        <v>None</v>
      </c>
      <c r="E220" s="95">
        <v>2.00162846E8</v>
      </c>
    </row>
    <row r="221">
      <c r="A221" s="93" t="s">
        <v>128</v>
      </c>
      <c r="B221" s="93" t="s">
        <v>680</v>
      </c>
      <c r="C221" s="93" t="s">
        <v>679</v>
      </c>
      <c r="D221" s="94" t="str">
        <f t="shared" si="1"/>
        <v>None</v>
      </c>
      <c r="E221" s="95">
        <v>2.00162955E8</v>
      </c>
    </row>
    <row r="222">
      <c r="A222" s="93" t="s">
        <v>96</v>
      </c>
      <c r="B222" s="93" t="s">
        <v>884</v>
      </c>
      <c r="C222" s="93" t="s">
        <v>885</v>
      </c>
      <c r="D222" s="94" t="str">
        <f t="shared" si="1"/>
        <v>None</v>
      </c>
      <c r="E222" s="95">
        <v>2.00162969E8</v>
      </c>
    </row>
    <row r="223">
      <c r="A223" s="93" t="s">
        <v>895</v>
      </c>
      <c r="B223" s="93" t="s">
        <v>896</v>
      </c>
      <c r="C223" s="93" t="s">
        <v>897</v>
      </c>
      <c r="D223" s="94" t="str">
        <f t="shared" si="1"/>
        <v>None</v>
      </c>
      <c r="E223" s="95">
        <v>2.00163243E8</v>
      </c>
    </row>
    <row r="224">
      <c r="A224" s="93" t="s">
        <v>216</v>
      </c>
      <c r="B224" s="93" t="s">
        <v>217</v>
      </c>
      <c r="C224" s="93" t="s">
        <v>215</v>
      </c>
      <c r="D224" s="94" t="str">
        <f t="shared" si="1"/>
        <v>None</v>
      </c>
      <c r="E224" s="95">
        <v>2.0016445E8</v>
      </c>
    </row>
    <row r="225">
      <c r="A225" s="93" t="s">
        <v>267</v>
      </c>
      <c r="B225" s="93" t="s">
        <v>269</v>
      </c>
      <c r="C225" s="93" t="s">
        <v>266</v>
      </c>
      <c r="D225" s="94" t="str">
        <f t="shared" si="1"/>
        <v>None</v>
      </c>
      <c r="E225" s="95">
        <v>2.00164826E8</v>
      </c>
    </row>
    <row r="226">
      <c r="A226" s="93" t="s">
        <v>199</v>
      </c>
      <c r="B226" s="93" t="s">
        <v>577</v>
      </c>
      <c r="C226" s="93" t="s">
        <v>576</v>
      </c>
      <c r="D226" s="94" t="str">
        <f t="shared" si="1"/>
        <v>None</v>
      </c>
      <c r="E226" s="95">
        <v>2.00164903E8</v>
      </c>
    </row>
    <row r="227">
      <c r="A227" s="93" t="s">
        <v>920</v>
      </c>
      <c r="B227" s="93" t="s">
        <v>926</v>
      </c>
      <c r="C227" s="93" t="s">
        <v>928</v>
      </c>
      <c r="D227" s="94" t="str">
        <f t="shared" si="1"/>
        <v>None</v>
      </c>
      <c r="E227" s="95">
        <v>2.00164928E8</v>
      </c>
    </row>
    <row r="228">
      <c r="A228" s="99">
        <v>2.00164955E8</v>
      </c>
      <c r="B228" s="96" t="s">
        <v>1539</v>
      </c>
      <c r="C228" s="96" t="s">
        <v>1540</v>
      </c>
      <c r="D228" s="94" t="str">
        <f t="shared" si="1"/>
        <v>None</v>
      </c>
      <c r="E228" s="95">
        <v>2.00164955E8</v>
      </c>
    </row>
    <row r="229">
      <c r="A229" s="93" t="s">
        <v>162</v>
      </c>
      <c r="B229" s="93" t="s">
        <v>940</v>
      </c>
      <c r="C229" s="93" t="s">
        <v>941</v>
      </c>
      <c r="D229" s="94" t="str">
        <f t="shared" si="1"/>
        <v>None</v>
      </c>
      <c r="E229" s="95">
        <v>2.00165233E8</v>
      </c>
    </row>
    <row r="230">
      <c r="A230" s="93" t="s">
        <v>359</v>
      </c>
      <c r="B230" s="93" t="s">
        <v>731</v>
      </c>
      <c r="C230" s="93" t="s">
        <v>732</v>
      </c>
      <c r="D230" s="94" t="str">
        <f t="shared" si="1"/>
        <v>None</v>
      </c>
      <c r="E230" s="95">
        <v>2.00165952E8</v>
      </c>
    </row>
    <row r="231">
      <c r="A231" s="93" t="s">
        <v>733</v>
      </c>
      <c r="B231" s="93" t="s">
        <v>735</v>
      </c>
      <c r="C231" s="93" t="s">
        <v>736</v>
      </c>
      <c r="D231" s="94" t="str">
        <f t="shared" si="1"/>
        <v>None</v>
      </c>
      <c r="E231" s="95">
        <v>2.00166124E8</v>
      </c>
    </row>
    <row r="232">
      <c r="A232" s="93" t="s">
        <v>265</v>
      </c>
      <c r="B232" s="93" t="s">
        <v>737</v>
      </c>
      <c r="C232" s="93" t="s">
        <v>738</v>
      </c>
      <c r="D232" s="94" t="str">
        <f t="shared" si="1"/>
        <v>None</v>
      </c>
      <c r="E232" s="95">
        <v>2.00166132E8</v>
      </c>
    </row>
    <row r="233">
      <c r="A233" s="93" t="s">
        <v>261</v>
      </c>
      <c r="B233" s="93" t="s">
        <v>740</v>
      </c>
      <c r="C233" s="93" t="s">
        <v>741</v>
      </c>
      <c r="D233" s="94" t="str">
        <f t="shared" si="1"/>
        <v>None</v>
      </c>
      <c r="E233" s="95">
        <v>2.00166275E8</v>
      </c>
    </row>
    <row r="234">
      <c r="A234" s="93" t="s">
        <v>188</v>
      </c>
      <c r="B234" s="93" t="s">
        <v>745</v>
      </c>
      <c r="C234" s="93" t="s">
        <v>746</v>
      </c>
      <c r="D234" s="94" t="str">
        <f t="shared" si="1"/>
        <v>None</v>
      </c>
      <c r="E234" s="95">
        <v>2.00166599E8</v>
      </c>
    </row>
    <row r="235">
      <c r="A235" s="93" t="s">
        <v>747</v>
      </c>
      <c r="B235" s="93" t="s">
        <v>748</v>
      </c>
      <c r="C235" s="93" t="s">
        <v>749</v>
      </c>
      <c r="D235" s="94" t="str">
        <f t="shared" si="1"/>
        <v>None</v>
      </c>
      <c r="E235" s="95">
        <v>2.00166617E8</v>
      </c>
    </row>
    <row r="236">
      <c r="A236" s="93" t="s">
        <v>753</v>
      </c>
      <c r="B236" s="93" t="s">
        <v>754</v>
      </c>
      <c r="C236" s="93" t="s">
        <v>755</v>
      </c>
      <c r="D236" s="94" t="str">
        <f t="shared" si="1"/>
        <v>None</v>
      </c>
      <c r="E236" s="95">
        <v>2.00167419E8</v>
      </c>
    </row>
    <row r="237">
      <c r="A237" s="93" t="s">
        <v>254</v>
      </c>
      <c r="B237" s="93" t="s">
        <v>759</v>
      </c>
      <c r="C237" s="93" t="s">
        <v>760</v>
      </c>
      <c r="D237" s="94" t="str">
        <f t="shared" si="1"/>
        <v>None</v>
      </c>
      <c r="E237" s="95">
        <v>2.00167432E8</v>
      </c>
    </row>
    <row r="238">
      <c r="A238" s="93" t="s">
        <v>181</v>
      </c>
      <c r="B238" s="93" t="s">
        <v>764</v>
      </c>
      <c r="C238" s="93" t="s">
        <v>765</v>
      </c>
      <c r="D238" s="94" t="str">
        <f t="shared" si="1"/>
        <v>None</v>
      </c>
      <c r="E238" s="95">
        <v>2.00167956E8</v>
      </c>
    </row>
    <row r="239">
      <c r="A239" s="100">
        <v>2.0016831E8</v>
      </c>
      <c r="B239" s="96" t="s">
        <v>1542</v>
      </c>
      <c r="C239" s="96" t="s">
        <v>1543</v>
      </c>
      <c r="D239" s="94" t="str">
        <f t="shared" si="1"/>
        <v>None</v>
      </c>
      <c r="E239" s="95">
        <v>2.0016831E8</v>
      </c>
    </row>
    <row r="240">
      <c r="A240" s="93" t="s">
        <v>441</v>
      </c>
      <c r="B240" s="93" t="s">
        <v>442</v>
      </c>
      <c r="C240" s="93" t="s">
        <v>440</v>
      </c>
      <c r="D240" s="94" t="str">
        <f t="shared" si="1"/>
        <v>None</v>
      </c>
      <c r="E240" s="95">
        <v>2.00168381E8</v>
      </c>
    </row>
    <row r="241">
      <c r="A241" s="93" t="s">
        <v>778</v>
      </c>
      <c r="B241" s="93" t="s">
        <v>785</v>
      </c>
      <c r="C241" s="93" t="s">
        <v>786</v>
      </c>
      <c r="D241" s="94" t="str">
        <f t="shared" si="1"/>
        <v>None</v>
      </c>
      <c r="E241" s="95">
        <v>2.00168433E8</v>
      </c>
    </row>
    <row r="242">
      <c r="A242" s="93" t="s">
        <v>796</v>
      </c>
      <c r="B242" s="93" t="s">
        <v>798</v>
      </c>
      <c r="C242" s="93" t="s">
        <v>799</v>
      </c>
      <c r="D242" s="94" t="str">
        <f t="shared" si="1"/>
        <v>None</v>
      </c>
      <c r="E242" s="95">
        <v>2.00168478E8</v>
      </c>
    </row>
    <row r="243">
      <c r="A243" s="93" t="s">
        <v>250</v>
      </c>
      <c r="B243" s="93" t="s">
        <v>810</v>
      </c>
      <c r="C243" s="93" t="s">
        <v>811</v>
      </c>
      <c r="D243" s="94" t="str">
        <f t="shared" si="1"/>
        <v>None</v>
      </c>
      <c r="E243" s="95">
        <v>2.00168497E8</v>
      </c>
    </row>
    <row r="244">
      <c r="A244" s="93" t="s">
        <v>821</v>
      </c>
      <c r="B244" s="93" t="s">
        <v>826</v>
      </c>
      <c r="C244" s="93" t="s">
        <v>829</v>
      </c>
      <c r="D244" s="94" t="str">
        <f t="shared" si="1"/>
        <v>None</v>
      </c>
      <c r="E244" s="95">
        <v>2.00168658E8</v>
      </c>
    </row>
    <row r="245">
      <c r="A245" s="93" t="s">
        <v>306</v>
      </c>
      <c r="B245" s="93" t="s">
        <v>308</v>
      </c>
      <c r="C245" s="93" t="s">
        <v>304</v>
      </c>
      <c r="D245" s="94" t="str">
        <f t="shared" si="1"/>
        <v>None</v>
      </c>
      <c r="E245" s="95">
        <v>2.00168747E8</v>
      </c>
    </row>
    <row r="246">
      <c r="A246" s="93" t="s">
        <v>848</v>
      </c>
      <c r="B246" s="93" t="s">
        <v>851</v>
      </c>
      <c r="C246" s="93" t="s">
        <v>852</v>
      </c>
      <c r="D246" s="94" t="str">
        <f t="shared" si="1"/>
        <v>None</v>
      </c>
      <c r="E246" s="95">
        <v>2.00168795E8</v>
      </c>
    </row>
    <row r="247">
      <c r="A247" s="93" t="s">
        <v>692</v>
      </c>
      <c r="B247" s="93" t="s">
        <v>693</v>
      </c>
      <c r="C247" s="93" t="s">
        <v>694</v>
      </c>
      <c r="D247" s="94" t="str">
        <f t="shared" si="1"/>
        <v>None</v>
      </c>
      <c r="E247" s="95">
        <v>2.00169161E8</v>
      </c>
    </row>
    <row r="248">
      <c r="A248" s="93" t="s">
        <v>262</v>
      </c>
      <c r="B248" s="93" t="s">
        <v>695</v>
      </c>
      <c r="C248" s="93" t="s">
        <v>696</v>
      </c>
      <c r="D248" s="94" t="str">
        <f t="shared" si="1"/>
        <v>None</v>
      </c>
      <c r="E248" s="95">
        <v>2.00169744E8</v>
      </c>
    </row>
    <row r="249">
      <c r="A249" s="93" t="s">
        <v>252</v>
      </c>
      <c r="B249" s="93" t="s">
        <v>700</v>
      </c>
      <c r="C249" s="93" t="s">
        <v>701</v>
      </c>
      <c r="D249" s="94" t="str">
        <f t="shared" si="1"/>
        <v>None</v>
      </c>
      <c r="E249" s="95">
        <v>2.00170066E8</v>
      </c>
    </row>
    <row r="250">
      <c r="A250" s="93" t="s">
        <v>160</v>
      </c>
      <c r="B250" s="93" t="s">
        <v>705</v>
      </c>
      <c r="C250" s="93" t="s">
        <v>706</v>
      </c>
      <c r="D250" s="94" t="str">
        <f t="shared" si="1"/>
        <v>None</v>
      </c>
      <c r="E250" s="95">
        <v>2.00170214E8</v>
      </c>
    </row>
    <row r="251">
      <c r="A251" s="93" t="s">
        <v>615</v>
      </c>
      <c r="B251" s="93" t="s">
        <v>616</v>
      </c>
      <c r="C251" s="93" t="s">
        <v>617</v>
      </c>
      <c r="D251" s="94" t="str">
        <f t="shared" si="1"/>
        <v>None</v>
      </c>
      <c r="E251" s="95">
        <v>2.00170241E8</v>
      </c>
    </row>
    <row r="252">
      <c r="A252" s="93" t="s">
        <v>711</v>
      </c>
      <c r="B252" s="93" t="s">
        <v>541</v>
      </c>
      <c r="C252" s="93" t="s">
        <v>540</v>
      </c>
      <c r="D252" s="94" t="str">
        <f t="shared" si="1"/>
        <v>None</v>
      </c>
      <c r="E252" s="95">
        <v>2.00170378E8</v>
      </c>
    </row>
    <row r="253">
      <c r="A253" s="93" t="s">
        <v>285</v>
      </c>
      <c r="B253" s="93" t="s">
        <v>715</v>
      </c>
      <c r="C253" s="93" t="s">
        <v>716</v>
      </c>
      <c r="D253" s="94" t="str">
        <f t="shared" si="1"/>
        <v>None</v>
      </c>
      <c r="E253" s="95">
        <v>2.00170388E8</v>
      </c>
    </row>
    <row r="254">
      <c r="A254" s="93" t="s">
        <v>150</v>
      </c>
      <c r="B254" s="93" t="s">
        <v>720</v>
      </c>
      <c r="C254" s="93" t="s">
        <v>721</v>
      </c>
      <c r="D254" s="94" t="str">
        <f t="shared" si="1"/>
        <v>None</v>
      </c>
      <c r="E254" s="95">
        <v>2.00170572E8</v>
      </c>
    </row>
    <row r="255">
      <c r="A255" s="93" t="s">
        <v>725</v>
      </c>
      <c r="B255" s="93" t="s">
        <v>726</v>
      </c>
      <c r="C255" s="93" t="s">
        <v>727</v>
      </c>
      <c r="D255" s="94" t="str">
        <f t="shared" si="1"/>
        <v>None</v>
      </c>
      <c r="E255" s="95">
        <v>2.00171563E8</v>
      </c>
    </row>
    <row r="256">
      <c r="A256" s="93" t="s">
        <v>238</v>
      </c>
      <c r="B256" s="93" t="s">
        <v>728</v>
      </c>
      <c r="C256" s="93" t="s">
        <v>729</v>
      </c>
      <c r="D256" s="94" t="str">
        <f t="shared" si="1"/>
        <v>None</v>
      </c>
      <c r="E256" s="95">
        <v>2.00171712E8</v>
      </c>
    </row>
    <row r="257">
      <c r="A257" s="93" t="s">
        <v>147</v>
      </c>
      <c r="B257" s="93" t="s">
        <v>591</v>
      </c>
      <c r="C257" s="93" t="s">
        <v>592</v>
      </c>
      <c r="D257" s="94" t="str">
        <f t="shared" si="1"/>
        <v>None</v>
      </c>
      <c r="E257" s="95">
        <v>2.00172335E8</v>
      </c>
    </row>
    <row r="258">
      <c r="A258" s="93" t="s">
        <v>599</v>
      </c>
      <c r="B258" s="93" t="s">
        <v>602</v>
      </c>
      <c r="C258" s="93" t="s">
        <v>603</v>
      </c>
      <c r="D258" s="94" t="str">
        <f t="shared" si="1"/>
        <v>None</v>
      </c>
      <c r="E258" s="95">
        <v>2.00172678E8</v>
      </c>
    </row>
    <row r="259">
      <c r="A259" s="93" t="s">
        <v>605</v>
      </c>
      <c r="B259" s="93" t="s">
        <v>607</v>
      </c>
      <c r="C259" s="93" t="s">
        <v>608</v>
      </c>
      <c r="D259" s="94" t="str">
        <f t="shared" si="1"/>
        <v>None</v>
      </c>
      <c r="E259" s="95">
        <v>2.0017292E8</v>
      </c>
    </row>
    <row r="260">
      <c r="A260" s="93" t="s">
        <v>618</v>
      </c>
      <c r="B260" s="93" t="s">
        <v>624</v>
      </c>
      <c r="C260" s="93" t="s">
        <v>626</v>
      </c>
      <c r="D260" s="94" t="str">
        <f t="shared" si="1"/>
        <v>None</v>
      </c>
      <c r="E260" s="95">
        <v>2.00173E8</v>
      </c>
    </row>
    <row r="261">
      <c r="A261" s="93" t="s">
        <v>644</v>
      </c>
      <c r="B261" s="93" t="s">
        <v>653</v>
      </c>
      <c r="C261" s="93" t="s">
        <v>655</v>
      </c>
      <c r="D261" s="94" t="str">
        <f t="shared" si="1"/>
        <v>None</v>
      </c>
      <c r="E261" s="95">
        <v>2.00173174E8</v>
      </c>
    </row>
    <row r="262">
      <c r="A262" s="93" t="s">
        <v>670</v>
      </c>
      <c r="B262" s="93" t="s">
        <v>674</v>
      </c>
      <c r="C262" s="93" t="s">
        <v>675</v>
      </c>
      <c r="D262" s="94" t="str">
        <f t="shared" si="1"/>
        <v>None</v>
      </c>
      <c r="E262" s="95">
        <v>2.00173672E8</v>
      </c>
    </row>
    <row r="263">
      <c r="A263" s="93" t="s">
        <v>163</v>
      </c>
      <c r="B263" s="93" t="s">
        <v>170</v>
      </c>
      <c r="C263" s="93" t="s">
        <v>172</v>
      </c>
      <c r="D263" s="94" t="str">
        <f t="shared" si="1"/>
        <v>None</v>
      </c>
      <c r="E263" s="95">
        <v>2.00173831E8</v>
      </c>
    </row>
    <row r="264">
      <c r="A264" s="93" t="s">
        <v>419</v>
      </c>
      <c r="B264" s="93" t="s">
        <v>420</v>
      </c>
      <c r="C264" s="93" t="s">
        <v>418</v>
      </c>
      <c r="D264" s="94" t="str">
        <f t="shared" si="1"/>
        <v>None</v>
      </c>
      <c r="E264" s="95">
        <v>2.00174061E8</v>
      </c>
    </row>
    <row r="265">
      <c r="A265" s="93" t="s">
        <v>137</v>
      </c>
      <c r="B265" s="93" t="s">
        <v>138</v>
      </c>
      <c r="C265" s="93" t="s">
        <v>136</v>
      </c>
      <c r="D265" s="94" t="str">
        <f t="shared" si="1"/>
        <v>None</v>
      </c>
      <c r="E265" s="95">
        <v>2.00174091E8</v>
      </c>
    </row>
    <row r="266">
      <c r="A266" s="93" t="s">
        <v>358</v>
      </c>
      <c r="B266" s="93" t="s">
        <v>682</v>
      </c>
      <c r="C266" s="93" t="s">
        <v>683</v>
      </c>
      <c r="D266" s="94" t="str">
        <f t="shared" si="1"/>
        <v>None</v>
      </c>
      <c r="E266" s="95">
        <v>2.00174357E8</v>
      </c>
    </row>
    <row r="267">
      <c r="A267" s="93" t="s">
        <v>248</v>
      </c>
      <c r="B267" s="93" t="s">
        <v>687</v>
      </c>
      <c r="C267" s="93" t="s">
        <v>688</v>
      </c>
      <c r="D267" s="94" t="str">
        <f t="shared" si="1"/>
        <v>None</v>
      </c>
      <c r="E267" s="95">
        <v>2.00174489E8</v>
      </c>
    </row>
    <row r="268">
      <c r="A268" s="93" t="s">
        <v>179</v>
      </c>
      <c r="B268" s="93" t="s">
        <v>566</v>
      </c>
      <c r="C268" s="93" t="s">
        <v>567</v>
      </c>
      <c r="D268" s="94" t="str">
        <f t="shared" si="1"/>
        <v>None</v>
      </c>
      <c r="E268" s="95">
        <v>2.00175198E8</v>
      </c>
    </row>
    <row r="269">
      <c r="A269" s="93" t="s">
        <v>568</v>
      </c>
      <c r="B269" s="93" t="s">
        <v>569</v>
      </c>
      <c r="C269" s="93" t="s">
        <v>570</v>
      </c>
      <c r="D269" s="94" t="str">
        <f t="shared" si="1"/>
        <v>None</v>
      </c>
      <c r="E269" s="95">
        <v>2.00176653E8</v>
      </c>
    </row>
    <row r="270">
      <c r="A270" s="93" t="s">
        <v>374</v>
      </c>
      <c r="B270" s="93" t="s">
        <v>574</v>
      </c>
      <c r="C270" s="93" t="s">
        <v>575</v>
      </c>
      <c r="D270" s="94" t="str">
        <f t="shared" si="1"/>
        <v>None</v>
      </c>
      <c r="E270" s="95">
        <v>2.00177014E8</v>
      </c>
    </row>
    <row r="271">
      <c r="A271" s="93" t="s">
        <v>405</v>
      </c>
      <c r="B271" s="93" t="s">
        <v>579</v>
      </c>
      <c r="C271" s="93" t="s">
        <v>580</v>
      </c>
      <c r="D271" s="94" t="str">
        <f t="shared" si="1"/>
        <v>None</v>
      </c>
      <c r="E271" s="95">
        <v>2.00177061E8</v>
      </c>
    </row>
    <row r="272">
      <c r="A272" s="93" t="s">
        <v>581</v>
      </c>
      <c r="B272" s="93" t="s">
        <v>582</v>
      </c>
      <c r="C272" s="93" t="s">
        <v>583</v>
      </c>
      <c r="D272" s="94" t="str">
        <f t="shared" si="1"/>
        <v>None</v>
      </c>
      <c r="E272" s="95">
        <v>2.0017746E8</v>
      </c>
    </row>
    <row r="273">
      <c r="A273" s="93" t="s">
        <v>588</v>
      </c>
      <c r="B273" s="93" t="s">
        <v>589</v>
      </c>
      <c r="C273" s="93" t="s">
        <v>590</v>
      </c>
      <c r="D273" s="94" t="str">
        <f t="shared" si="1"/>
        <v>None</v>
      </c>
      <c r="E273" s="95">
        <v>2.00177656E8</v>
      </c>
    </row>
    <row r="274">
      <c r="A274" s="93" t="s">
        <v>117</v>
      </c>
      <c r="B274" s="93" t="s">
        <v>538</v>
      </c>
      <c r="C274" s="93" t="s">
        <v>539</v>
      </c>
      <c r="D274" s="94" t="str">
        <f t="shared" si="1"/>
        <v>None</v>
      </c>
      <c r="E274" s="95">
        <v>2.00178572E8</v>
      </c>
    </row>
    <row r="275">
      <c r="A275" s="93" t="s">
        <v>516</v>
      </c>
      <c r="B275" s="93" t="s">
        <v>517</v>
      </c>
      <c r="C275" s="93" t="s">
        <v>515</v>
      </c>
      <c r="D275" s="94" t="str">
        <f t="shared" si="1"/>
        <v>None</v>
      </c>
      <c r="E275" s="95">
        <v>2.00178626E8</v>
      </c>
    </row>
    <row r="276">
      <c r="A276" s="93" t="s">
        <v>543</v>
      </c>
      <c r="B276" s="93" t="s">
        <v>544</v>
      </c>
      <c r="C276" s="93" t="s">
        <v>545</v>
      </c>
      <c r="D276" s="94" t="str">
        <f t="shared" si="1"/>
        <v>None</v>
      </c>
      <c r="E276" s="95">
        <v>2.00179615E8</v>
      </c>
    </row>
    <row r="277">
      <c r="A277" s="93" t="s">
        <v>546</v>
      </c>
      <c r="B277" s="93" t="s">
        <v>547</v>
      </c>
      <c r="C277" s="93" t="s">
        <v>548</v>
      </c>
      <c r="D277" s="94" t="str">
        <f t="shared" si="1"/>
        <v>None</v>
      </c>
      <c r="E277" s="95">
        <v>2.00179741E8</v>
      </c>
    </row>
    <row r="278">
      <c r="A278" s="93" t="s">
        <v>251</v>
      </c>
      <c r="B278" s="93" t="s">
        <v>552</v>
      </c>
      <c r="C278" s="93" t="s">
        <v>553</v>
      </c>
      <c r="D278" s="94" t="str">
        <f t="shared" si="1"/>
        <v>None</v>
      </c>
      <c r="E278" s="95">
        <v>2.00179846E8</v>
      </c>
    </row>
    <row r="279">
      <c r="A279" s="93" t="s">
        <v>554</v>
      </c>
      <c r="B279" s="93" t="s">
        <v>558</v>
      </c>
      <c r="C279" s="93" t="s">
        <v>559</v>
      </c>
      <c r="D279" s="94" t="str">
        <f t="shared" si="1"/>
        <v>None</v>
      </c>
      <c r="E279" s="95">
        <v>2.00180289E8</v>
      </c>
    </row>
    <row r="280">
      <c r="A280" s="93" t="s">
        <v>373</v>
      </c>
      <c r="B280" s="93" t="s">
        <v>561</v>
      </c>
      <c r="C280" s="93" t="s">
        <v>562</v>
      </c>
      <c r="D280" s="94" t="str">
        <f t="shared" si="1"/>
        <v>None</v>
      </c>
      <c r="E280" s="95">
        <v>2.00180794E8</v>
      </c>
    </row>
    <row r="281">
      <c r="A281" s="93" t="s">
        <v>318</v>
      </c>
      <c r="B281" s="93" t="s">
        <v>519</v>
      </c>
      <c r="C281" s="93" t="s">
        <v>520</v>
      </c>
      <c r="D281" s="94" t="str">
        <f t="shared" si="1"/>
        <v>None</v>
      </c>
      <c r="E281" s="95">
        <v>2.00183188E8</v>
      </c>
    </row>
    <row r="282">
      <c r="A282" s="93" t="s">
        <v>72</v>
      </c>
      <c r="B282" s="93" t="s">
        <v>107</v>
      </c>
      <c r="C282" s="93" t="s">
        <v>108</v>
      </c>
      <c r="D282" s="94" t="str">
        <f t="shared" si="1"/>
        <v>None</v>
      </c>
      <c r="E282" s="95">
        <v>2.00183812E8</v>
      </c>
    </row>
    <row r="283">
      <c r="A283" s="93" t="s">
        <v>276</v>
      </c>
      <c r="B283" s="93" t="s">
        <v>394</v>
      </c>
      <c r="C283" s="93" t="s">
        <v>395</v>
      </c>
      <c r="D283" s="94" t="str">
        <f t="shared" si="1"/>
        <v>None</v>
      </c>
      <c r="E283" s="95">
        <v>2.00183921E8</v>
      </c>
    </row>
    <row r="284">
      <c r="A284" s="93" t="s">
        <v>129</v>
      </c>
      <c r="B284" s="93" t="s">
        <v>143</v>
      </c>
      <c r="C284" s="93" t="s">
        <v>146</v>
      </c>
      <c r="D284" s="94" t="str">
        <f t="shared" si="1"/>
        <v>None</v>
      </c>
      <c r="E284" s="95">
        <v>2.00183972E8</v>
      </c>
    </row>
    <row r="285">
      <c r="A285" s="93" t="s">
        <v>521</v>
      </c>
      <c r="B285" s="93" t="s">
        <v>522</v>
      </c>
      <c r="C285" s="93" t="s">
        <v>523</v>
      </c>
      <c r="D285" s="94" t="str">
        <f t="shared" si="1"/>
        <v>None</v>
      </c>
      <c r="E285" s="95">
        <v>2.00184024E8</v>
      </c>
    </row>
    <row r="286">
      <c r="A286" s="93" t="s">
        <v>155</v>
      </c>
      <c r="B286" s="93" t="s">
        <v>524</v>
      </c>
      <c r="C286" s="93" t="s">
        <v>525</v>
      </c>
      <c r="D286" s="94" t="str">
        <f t="shared" si="1"/>
        <v>None</v>
      </c>
      <c r="E286" s="95">
        <v>2.001841E8</v>
      </c>
    </row>
    <row r="287">
      <c r="A287" s="93" t="s">
        <v>333</v>
      </c>
      <c r="B287" s="93" t="s">
        <v>529</v>
      </c>
      <c r="C287" s="93" t="s">
        <v>530</v>
      </c>
      <c r="D287" s="94" t="str">
        <f t="shared" si="1"/>
        <v>None</v>
      </c>
      <c r="E287" s="95">
        <v>2.00184381E8</v>
      </c>
    </row>
    <row r="288">
      <c r="A288" s="93" t="s">
        <v>332</v>
      </c>
      <c r="B288" s="93" t="s">
        <v>485</v>
      </c>
      <c r="C288" s="93" t="s">
        <v>484</v>
      </c>
      <c r="D288" s="94" t="str">
        <f t="shared" si="1"/>
        <v>None</v>
      </c>
      <c r="E288" s="95">
        <v>2.00184541E8</v>
      </c>
    </row>
    <row r="289">
      <c r="A289" s="93" t="s">
        <v>509</v>
      </c>
      <c r="B289" s="93" t="s">
        <v>513</v>
      </c>
      <c r="C289" s="93" t="s">
        <v>514</v>
      </c>
      <c r="D289" s="94" t="str">
        <f t="shared" si="1"/>
        <v>None</v>
      </c>
      <c r="E289" s="95">
        <v>2.00208439E8</v>
      </c>
    </row>
    <row r="290">
      <c r="A290" s="93" t="s">
        <v>506</v>
      </c>
      <c r="B290" s="93" t="s">
        <v>507</v>
      </c>
      <c r="C290" s="93" t="s">
        <v>508</v>
      </c>
      <c r="D290" s="94" t="str">
        <f t="shared" si="1"/>
        <v>None</v>
      </c>
      <c r="E290" s="95">
        <v>2.00210305E8</v>
      </c>
    </row>
    <row r="291">
      <c r="A291" s="93" t="s">
        <v>403</v>
      </c>
      <c r="B291" s="93" t="s">
        <v>500</v>
      </c>
      <c r="C291" s="93" t="s">
        <v>501</v>
      </c>
      <c r="D291" s="94" t="str">
        <f t="shared" si="1"/>
        <v>None</v>
      </c>
      <c r="E291" s="95">
        <v>2.00215713E8</v>
      </c>
    </row>
    <row r="292">
      <c r="A292" s="93" t="s">
        <v>496</v>
      </c>
      <c r="B292" s="93" t="s">
        <v>497</v>
      </c>
      <c r="C292" s="93" t="s">
        <v>498</v>
      </c>
      <c r="D292" s="94" t="str">
        <f t="shared" si="1"/>
        <v>None</v>
      </c>
      <c r="E292" s="95">
        <v>2.00217277E8</v>
      </c>
    </row>
    <row r="293">
      <c r="A293" s="93" t="s">
        <v>489</v>
      </c>
      <c r="B293" s="93" t="s">
        <v>494</v>
      </c>
      <c r="C293" s="93" t="s">
        <v>495</v>
      </c>
      <c r="D293" s="94" t="str">
        <f t="shared" si="1"/>
        <v>None</v>
      </c>
      <c r="E293" s="95">
        <v>2.00219387E8</v>
      </c>
    </row>
    <row r="294">
      <c r="A294" s="93" t="s">
        <v>11</v>
      </c>
      <c r="B294" s="93" t="s">
        <v>32</v>
      </c>
      <c r="C294" s="93" t="s">
        <v>33</v>
      </c>
      <c r="D294" s="94" t="str">
        <f t="shared" si="1"/>
        <v>None</v>
      </c>
      <c r="E294" s="95">
        <v>2.00224596E8</v>
      </c>
    </row>
    <row r="295">
      <c r="A295" s="93" t="s">
        <v>183</v>
      </c>
      <c r="B295" s="93" t="s">
        <v>487</v>
      </c>
      <c r="C295" s="93" t="s">
        <v>488</v>
      </c>
      <c r="D295" s="94" t="str">
        <f t="shared" si="1"/>
        <v>None</v>
      </c>
      <c r="E295" s="95">
        <v>2.00293399E8</v>
      </c>
    </row>
    <row r="296">
      <c r="A296" s="93" t="s">
        <v>65</v>
      </c>
      <c r="B296" s="93" t="s">
        <v>67</v>
      </c>
      <c r="C296" s="93" t="s">
        <v>62</v>
      </c>
      <c r="D296" s="94" t="str">
        <f t="shared" si="1"/>
        <v>None</v>
      </c>
      <c r="E296" s="95">
        <v>2.00325185E8</v>
      </c>
    </row>
    <row r="297">
      <c r="A297" s="93" t="s">
        <v>317</v>
      </c>
      <c r="B297" s="93" t="s">
        <v>1452</v>
      </c>
      <c r="C297" s="93" t="s">
        <v>1451</v>
      </c>
      <c r="D297" s="94" t="str">
        <f t="shared" si="1"/>
        <v>None</v>
      </c>
      <c r="E297" s="95">
        <v>2.00327616E8</v>
      </c>
    </row>
    <row r="298">
      <c r="A298" s="93" t="s">
        <v>243</v>
      </c>
      <c r="B298" s="93" t="s">
        <v>1214</v>
      </c>
      <c r="C298" s="93" t="s">
        <v>1213</v>
      </c>
      <c r="D298" s="94" t="str">
        <f t="shared" si="1"/>
        <v>None</v>
      </c>
      <c r="E298" s="95">
        <v>2.00328539E8</v>
      </c>
    </row>
    <row r="299">
      <c r="A299" s="93" t="s">
        <v>1550</v>
      </c>
      <c r="B299" s="93" t="s">
        <v>1551</v>
      </c>
      <c r="C299" s="93" t="s">
        <v>1552</v>
      </c>
      <c r="D299" s="94" t="str">
        <f t="shared" si="1"/>
        <v>None</v>
      </c>
      <c r="E299" s="95">
        <v>2.00329816E8</v>
      </c>
    </row>
    <row r="300">
      <c r="A300" s="93" t="s">
        <v>450</v>
      </c>
      <c r="B300" s="93" t="s">
        <v>453</v>
      </c>
      <c r="C300" s="93" t="s">
        <v>454</v>
      </c>
      <c r="D300" s="94" t="str">
        <f t="shared" si="1"/>
        <v>None</v>
      </c>
      <c r="E300" s="95">
        <v>2.00330225E8</v>
      </c>
    </row>
    <row r="301">
      <c r="A301" s="93" t="s">
        <v>1271</v>
      </c>
      <c r="B301" s="93" t="s">
        <v>1272</v>
      </c>
      <c r="C301" s="93" t="s">
        <v>1270</v>
      </c>
      <c r="D301" s="94" t="str">
        <f t="shared" si="1"/>
        <v>None</v>
      </c>
      <c r="E301" s="95">
        <v>2.00334458E8</v>
      </c>
    </row>
    <row r="302">
      <c r="A302" s="93" t="s">
        <v>1296</v>
      </c>
      <c r="B302" s="93" t="s">
        <v>1297</v>
      </c>
      <c r="C302" s="93" t="s">
        <v>1295</v>
      </c>
      <c r="D302" s="94" t="str">
        <f t="shared" si="1"/>
        <v>None</v>
      </c>
      <c r="E302" s="95">
        <v>2.00334697E8</v>
      </c>
    </row>
    <row r="303">
      <c r="A303" s="93" t="s">
        <v>404</v>
      </c>
      <c r="B303" s="93" t="s">
        <v>1554</v>
      </c>
      <c r="C303" s="93" t="s">
        <v>1555</v>
      </c>
      <c r="D303" s="94" t="str">
        <f t="shared" si="1"/>
        <v>None</v>
      </c>
      <c r="E303" s="95">
        <v>2.00336127E8</v>
      </c>
    </row>
    <row r="304">
      <c r="A304" s="93" t="s">
        <v>141</v>
      </c>
      <c r="B304" s="93" t="s">
        <v>345</v>
      </c>
      <c r="C304" s="93" t="s">
        <v>347</v>
      </c>
      <c r="D304" s="94" t="str">
        <f t="shared" si="1"/>
        <v>None</v>
      </c>
      <c r="E304" s="95">
        <v>2.00337469E8</v>
      </c>
    </row>
    <row r="305">
      <c r="A305" s="93" t="s">
        <v>57</v>
      </c>
      <c r="B305" s="93" t="s">
        <v>63</v>
      </c>
      <c r="C305" s="93" t="s">
        <v>64</v>
      </c>
      <c r="D305" s="9" t="str">
        <f t="shared" si="1"/>
        <v>None</v>
      </c>
      <c r="E305" s="101">
        <v>2.00212751E8</v>
      </c>
    </row>
    <row r="306">
      <c r="A306" s="93" t="s">
        <v>402</v>
      </c>
      <c r="B306" s="93" t="s">
        <v>722</v>
      </c>
      <c r="C306" s="93" t="s">
        <v>723</v>
      </c>
      <c r="D306" s="9" t="str">
        <f t="shared" si="1"/>
        <v>None</v>
      </c>
      <c r="E306" s="101">
        <v>2.00171055E8</v>
      </c>
    </row>
    <row r="307">
      <c r="A307" s="93" t="s">
        <v>620</v>
      </c>
      <c r="B307" s="93" t="s">
        <v>621</v>
      </c>
      <c r="C307" s="93" t="s">
        <v>622</v>
      </c>
      <c r="D307" s="9" t="str">
        <f t="shared" si="1"/>
        <v>None</v>
      </c>
      <c r="E307" s="101">
        <v>2.00167681E8</v>
      </c>
    </row>
    <row r="308">
      <c r="A308" s="93" t="s">
        <v>455</v>
      </c>
      <c r="B308" s="93" t="s">
        <v>456</v>
      </c>
      <c r="C308" s="93" t="s">
        <v>457</v>
      </c>
      <c r="D308" s="9" t="str">
        <f t="shared" si="1"/>
        <v>None</v>
      </c>
      <c r="E308" s="101">
        <v>2.00168572E8</v>
      </c>
    </row>
    <row r="309">
      <c r="A309" s="93" t="s">
        <v>316</v>
      </c>
      <c r="B309" s="93" t="s">
        <v>458</v>
      </c>
      <c r="C309" s="93" t="s">
        <v>459</v>
      </c>
      <c r="D309" s="9" t="str">
        <f t="shared" si="1"/>
        <v>None</v>
      </c>
      <c r="E309" s="101">
        <v>2.00165827E8</v>
      </c>
    </row>
    <row r="310">
      <c r="A310" s="93" t="s">
        <v>185</v>
      </c>
      <c r="B310" s="93" t="s">
        <v>464</v>
      </c>
      <c r="C310" s="93" t="s">
        <v>465</v>
      </c>
      <c r="D310" s="9" t="str">
        <f t="shared" si="1"/>
        <v>None</v>
      </c>
      <c r="E310" s="102">
        <v>2.00144405E8</v>
      </c>
    </row>
    <row r="311">
      <c r="A311" s="93" t="s">
        <v>1302</v>
      </c>
      <c r="B311" s="93" t="s">
        <v>1303</v>
      </c>
      <c r="C311" s="93" t="s">
        <v>1304</v>
      </c>
      <c r="D311" s="9" t="str">
        <f t="shared" si="1"/>
        <v>None</v>
      </c>
      <c r="E311" s="103">
        <v>2.00144482E8</v>
      </c>
    </row>
    <row r="312">
      <c r="A312" s="93" t="s">
        <v>708</v>
      </c>
      <c r="B312" s="93" t="s">
        <v>709</v>
      </c>
      <c r="C312" s="93" t="s">
        <v>707</v>
      </c>
      <c r="D312" s="9" t="str">
        <f t="shared" si="1"/>
        <v>None</v>
      </c>
      <c r="E312" s="104">
        <v>2.00141358E8</v>
      </c>
    </row>
    <row r="313">
      <c r="A313" s="93" t="s">
        <v>468</v>
      </c>
      <c r="B313" s="93" t="s">
        <v>471</v>
      </c>
      <c r="C313" s="93" t="s">
        <v>472</v>
      </c>
      <c r="D313" s="9" t="str">
        <f t="shared" si="1"/>
        <v>None</v>
      </c>
      <c r="E313" s="105">
        <v>2.00137537E8</v>
      </c>
    </row>
    <row r="314">
      <c r="A314" s="93" t="s">
        <v>177</v>
      </c>
      <c r="B314" s="93" t="s">
        <v>473</v>
      </c>
      <c r="C314" s="93" t="s">
        <v>474</v>
      </c>
      <c r="D314" s="9" t="str">
        <f t="shared" si="1"/>
        <v>None</v>
      </c>
      <c r="E314" s="106">
        <v>2.00114926E8</v>
      </c>
    </row>
    <row r="315">
      <c r="A315" s="93" t="s">
        <v>478</v>
      </c>
      <c r="B315" s="93" t="s">
        <v>479</v>
      </c>
      <c r="C315" s="93" t="s">
        <v>480</v>
      </c>
      <c r="D315" s="9" t="str">
        <f t="shared" si="1"/>
        <v>None</v>
      </c>
      <c r="E315" s="101">
        <v>2.0011761E8</v>
      </c>
    </row>
    <row r="316">
      <c r="B316" s="107" t="s">
        <v>1558</v>
      </c>
      <c r="C316" s="108" t="s">
        <v>1559</v>
      </c>
      <c r="E316" s="104">
        <v>2.00153039E8</v>
      </c>
    </row>
    <row r="317">
      <c r="B317" s="108" t="s">
        <v>1560</v>
      </c>
      <c r="C317" s="108" t="s">
        <v>1561</v>
      </c>
      <c r="E317" s="104">
        <v>2.00226782E8</v>
      </c>
    </row>
    <row r="318">
      <c r="E318" s="109"/>
    </row>
    <row r="319">
      <c r="E319" s="109"/>
    </row>
    <row r="320">
      <c r="E320" s="109"/>
    </row>
    <row r="321">
      <c r="E321" s="109"/>
    </row>
    <row r="322">
      <c r="E322" s="109"/>
    </row>
    <row r="323">
      <c r="E323" s="109"/>
    </row>
    <row r="324">
      <c r="E324" s="109"/>
    </row>
    <row r="325">
      <c r="E325" s="109"/>
    </row>
    <row r="326">
      <c r="E326" s="109"/>
    </row>
    <row r="327">
      <c r="E327" s="109"/>
    </row>
    <row r="328">
      <c r="E328" s="109"/>
    </row>
    <row r="329">
      <c r="E329" s="109"/>
    </row>
    <row r="330">
      <c r="E330" s="109"/>
    </row>
    <row r="331">
      <c r="E331" s="109"/>
    </row>
    <row r="332">
      <c r="E332" s="109"/>
    </row>
    <row r="333">
      <c r="E333" s="109"/>
    </row>
    <row r="334">
      <c r="E334" s="109"/>
    </row>
    <row r="335">
      <c r="E335" s="109"/>
    </row>
    <row r="336">
      <c r="E336" s="109"/>
    </row>
    <row r="337">
      <c r="E337" s="109"/>
    </row>
    <row r="338">
      <c r="E338" s="109"/>
    </row>
    <row r="339">
      <c r="E339" s="109"/>
    </row>
    <row r="340">
      <c r="E340" s="109"/>
    </row>
    <row r="341">
      <c r="E341" s="109"/>
    </row>
    <row r="342">
      <c r="E342" s="109"/>
    </row>
    <row r="343">
      <c r="E343" s="109"/>
    </row>
    <row r="344">
      <c r="E344" s="109"/>
    </row>
    <row r="345">
      <c r="E345" s="109"/>
    </row>
    <row r="346">
      <c r="E346" s="109"/>
    </row>
    <row r="347">
      <c r="E347" s="109"/>
    </row>
    <row r="348">
      <c r="E348" s="109"/>
    </row>
    <row r="349">
      <c r="E349" s="109"/>
    </row>
    <row r="350">
      <c r="E350" s="109"/>
    </row>
    <row r="351">
      <c r="E351" s="109"/>
    </row>
    <row r="352">
      <c r="E352" s="109"/>
    </row>
    <row r="353">
      <c r="E353" s="109"/>
    </row>
    <row r="354">
      <c r="E354" s="109"/>
    </row>
    <row r="355">
      <c r="E355" s="109"/>
    </row>
    <row r="356">
      <c r="E356" s="109"/>
    </row>
    <row r="357">
      <c r="E357" s="109"/>
    </row>
    <row r="358">
      <c r="E358" s="109"/>
    </row>
    <row r="359">
      <c r="E359" s="109"/>
    </row>
    <row r="360">
      <c r="E360" s="109"/>
    </row>
    <row r="361">
      <c r="E361" s="109"/>
    </row>
    <row r="362">
      <c r="E362" s="109"/>
    </row>
    <row r="363">
      <c r="E363" s="109"/>
    </row>
    <row r="364">
      <c r="E364" s="109"/>
    </row>
    <row r="365">
      <c r="E365" s="109"/>
    </row>
    <row r="366">
      <c r="E366" s="109"/>
    </row>
    <row r="367">
      <c r="E367" s="109"/>
    </row>
    <row r="368">
      <c r="E368" s="109"/>
    </row>
    <row r="369">
      <c r="E369" s="109"/>
    </row>
    <row r="370">
      <c r="E370" s="109"/>
    </row>
    <row r="371">
      <c r="E371" s="109"/>
    </row>
    <row r="372">
      <c r="E372" s="109"/>
    </row>
    <row r="373">
      <c r="E373" s="109"/>
    </row>
    <row r="374">
      <c r="E374" s="109"/>
    </row>
    <row r="375">
      <c r="E375" s="109"/>
    </row>
    <row r="376">
      <c r="E376" s="109"/>
    </row>
    <row r="377">
      <c r="E377" s="109"/>
    </row>
    <row r="378">
      <c r="E378" s="109"/>
    </row>
    <row r="379">
      <c r="E379" s="109"/>
    </row>
    <row r="380">
      <c r="E380" s="109"/>
    </row>
    <row r="381">
      <c r="E381" s="109"/>
    </row>
    <row r="382">
      <c r="E382" s="109"/>
    </row>
    <row r="383">
      <c r="E383" s="109"/>
    </row>
    <row r="384">
      <c r="E384" s="109"/>
    </row>
    <row r="385">
      <c r="E385" s="109"/>
    </row>
    <row r="386">
      <c r="E386" s="109"/>
    </row>
    <row r="387">
      <c r="E387" s="109"/>
    </row>
    <row r="388">
      <c r="E388" s="109"/>
    </row>
    <row r="389">
      <c r="E389" s="109"/>
    </row>
    <row r="390">
      <c r="E390" s="109"/>
    </row>
    <row r="391">
      <c r="E391" s="109"/>
    </row>
    <row r="392">
      <c r="E392" s="109"/>
    </row>
    <row r="393">
      <c r="E393" s="109"/>
    </row>
    <row r="394">
      <c r="E394" s="109"/>
    </row>
    <row r="395">
      <c r="E395" s="109"/>
    </row>
    <row r="396">
      <c r="E396" s="109"/>
    </row>
    <row r="397">
      <c r="E397" s="109"/>
    </row>
    <row r="398">
      <c r="E398" s="109"/>
    </row>
    <row r="399">
      <c r="E399" s="109"/>
    </row>
    <row r="400">
      <c r="E400" s="109"/>
    </row>
    <row r="401">
      <c r="E401" s="109"/>
    </row>
    <row r="402">
      <c r="E402" s="109"/>
    </row>
    <row r="403">
      <c r="E403" s="109"/>
    </row>
    <row r="404">
      <c r="E404" s="109"/>
    </row>
    <row r="405">
      <c r="E405" s="109"/>
    </row>
    <row r="406">
      <c r="E406" s="109"/>
    </row>
    <row r="407">
      <c r="E407" s="109"/>
    </row>
    <row r="408">
      <c r="E408" s="109"/>
    </row>
    <row r="409">
      <c r="E409" s="109"/>
    </row>
    <row r="410">
      <c r="E410" s="109"/>
    </row>
    <row r="411">
      <c r="E411" s="109"/>
    </row>
    <row r="412">
      <c r="E412" s="109"/>
    </row>
    <row r="413">
      <c r="E413" s="109"/>
    </row>
    <row r="414">
      <c r="E414" s="109"/>
    </row>
    <row r="415">
      <c r="E415" s="109"/>
    </row>
    <row r="416">
      <c r="E416" s="109"/>
    </row>
    <row r="417">
      <c r="E417" s="109"/>
    </row>
    <row r="418">
      <c r="E418" s="109"/>
    </row>
    <row r="419">
      <c r="E419" s="109"/>
    </row>
    <row r="420">
      <c r="E420" s="109"/>
    </row>
    <row r="421">
      <c r="E421" s="109"/>
    </row>
    <row r="422">
      <c r="E422" s="109"/>
    </row>
    <row r="423">
      <c r="E423" s="109"/>
    </row>
    <row r="424">
      <c r="E424" s="109"/>
    </row>
    <row r="425">
      <c r="E425" s="109"/>
    </row>
    <row r="426">
      <c r="E426" s="109"/>
    </row>
    <row r="427">
      <c r="E427" s="109"/>
    </row>
    <row r="428">
      <c r="E428" s="109"/>
    </row>
    <row r="429">
      <c r="E429" s="109"/>
    </row>
    <row r="430">
      <c r="E430" s="109"/>
    </row>
    <row r="431">
      <c r="E431" s="109"/>
    </row>
    <row r="432">
      <c r="E432" s="109"/>
    </row>
    <row r="433">
      <c r="E433" s="109"/>
    </row>
    <row r="434">
      <c r="E434" s="109"/>
    </row>
    <row r="435">
      <c r="E435" s="109"/>
    </row>
    <row r="436">
      <c r="E436" s="109"/>
    </row>
    <row r="437">
      <c r="E437" s="109"/>
    </row>
    <row r="438">
      <c r="E438" s="109"/>
    </row>
    <row r="439">
      <c r="E439" s="109"/>
    </row>
    <row r="440">
      <c r="E440" s="109"/>
    </row>
    <row r="441">
      <c r="E441" s="109"/>
    </row>
    <row r="442">
      <c r="E442" s="109"/>
    </row>
    <row r="443">
      <c r="E443" s="109"/>
    </row>
    <row r="444">
      <c r="E444" s="109"/>
    </row>
    <row r="445">
      <c r="E445" s="109"/>
    </row>
    <row r="446">
      <c r="E446" s="109"/>
    </row>
    <row r="447">
      <c r="E447" s="109"/>
    </row>
    <row r="448">
      <c r="E448" s="109"/>
    </row>
    <row r="449">
      <c r="E449" s="109"/>
    </row>
    <row r="450">
      <c r="E450" s="109"/>
    </row>
    <row r="451">
      <c r="E451" s="109"/>
    </row>
    <row r="452">
      <c r="E452" s="109"/>
    </row>
    <row r="453">
      <c r="E453" s="109"/>
    </row>
    <row r="454">
      <c r="E454" s="109"/>
    </row>
    <row r="455">
      <c r="E455" s="109"/>
    </row>
    <row r="456">
      <c r="E456" s="109"/>
    </row>
    <row r="457">
      <c r="E457" s="109"/>
    </row>
    <row r="458">
      <c r="E458" s="109"/>
    </row>
    <row r="459">
      <c r="E459" s="109"/>
    </row>
    <row r="460">
      <c r="E460" s="109"/>
    </row>
    <row r="461">
      <c r="E461" s="109"/>
    </row>
    <row r="462">
      <c r="E462" s="109"/>
    </row>
    <row r="463">
      <c r="E463" s="109"/>
    </row>
    <row r="464">
      <c r="E464" s="109"/>
    </row>
    <row r="465">
      <c r="E465" s="109"/>
    </row>
    <row r="466">
      <c r="E466" s="109"/>
    </row>
    <row r="467">
      <c r="E467" s="109"/>
    </row>
    <row r="468">
      <c r="E468" s="109"/>
    </row>
    <row r="469">
      <c r="E469" s="109"/>
    </row>
    <row r="470">
      <c r="E470" s="109"/>
    </row>
    <row r="471">
      <c r="E471" s="109"/>
    </row>
    <row r="472">
      <c r="E472" s="109"/>
    </row>
    <row r="473">
      <c r="E473" s="109"/>
    </row>
    <row r="474">
      <c r="E474" s="109"/>
    </row>
    <row r="475">
      <c r="E475" s="109"/>
    </row>
    <row r="476">
      <c r="E476" s="109"/>
    </row>
    <row r="477">
      <c r="E477" s="109"/>
    </row>
    <row r="478">
      <c r="E478" s="109"/>
    </row>
    <row r="479">
      <c r="E479" s="109"/>
    </row>
    <row r="480">
      <c r="E480" s="109"/>
    </row>
    <row r="481">
      <c r="E481" s="109"/>
    </row>
    <row r="482">
      <c r="E482" s="109"/>
    </row>
    <row r="483">
      <c r="E483" s="109"/>
    </row>
    <row r="484">
      <c r="E484" s="109"/>
    </row>
    <row r="485">
      <c r="E485" s="109"/>
    </row>
    <row r="486">
      <c r="E486" s="109"/>
    </row>
    <row r="487">
      <c r="E487" s="109"/>
    </row>
    <row r="488">
      <c r="E488" s="109"/>
    </row>
    <row r="489">
      <c r="E489" s="109"/>
    </row>
    <row r="490">
      <c r="E490" s="109"/>
    </row>
    <row r="491">
      <c r="E491" s="109"/>
    </row>
    <row r="492">
      <c r="E492" s="109"/>
    </row>
    <row r="493">
      <c r="E493" s="109"/>
    </row>
    <row r="494">
      <c r="E494" s="109"/>
    </row>
    <row r="495">
      <c r="E495" s="109"/>
    </row>
    <row r="496">
      <c r="E496" s="109"/>
    </row>
    <row r="497">
      <c r="E497" s="109"/>
    </row>
    <row r="498">
      <c r="E498" s="109"/>
    </row>
    <row r="499">
      <c r="E499" s="109"/>
    </row>
    <row r="500">
      <c r="E500" s="109"/>
    </row>
    <row r="501">
      <c r="E501" s="109"/>
    </row>
    <row r="502">
      <c r="E502" s="109"/>
    </row>
    <row r="503">
      <c r="E503" s="109"/>
    </row>
    <row r="504">
      <c r="E504" s="109"/>
    </row>
    <row r="505">
      <c r="E505" s="109"/>
    </row>
    <row r="506">
      <c r="E506" s="109"/>
    </row>
    <row r="507">
      <c r="E507" s="109"/>
    </row>
    <row r="508">
      <c r="E508" s="109"/>
    </row>
    <row r="509">
      <c r="E509" s="109"/>
    </row>
    <row r="510">
      <c r="E510" s="109"/>
    </row>
    <row r="511">
      <c r="E511" s="109"/>
    </row>
    <row r="512">
      <c r="E512" s="109"/>
    </row>
    <row r="513">
      <c r="E513" s="109"/>
    </row>
    <row r="514">
      <c r="E514" s="109"/>
    </row>
    <row r="515">
      <c r="E515" s="109"/>
    </row>
    <row r="516">
      <c r="E516" s="109"/>
    </row>
    <row r="517">
      <c r="E517" s="109"/>
    </row>
    <row r="518">
      <c r="E518" s="109"/>
    </row>
    <row r="519">
      <c r="E519" s="109"/>
    </row>
    <row r="520">
      <c r="E520" s="109"/>
    </row>
    <row r="521">
      <c r="E521" s="109"/>
    </row>
    <row r="522">
      <c r="E522" s="109"/>
    </row>
    <row r="523">
      <c r="E523" s="109"/>
    </row>
    <row r="524">
      <c r="E524" s="109"/>
    </row>
    <row r="525">
      <c r="E525" s="109"/>
    </row>
    <row r="526">
      <c r="E526" s="109"/>
    </row>
    <row r="527">
      <c r="E527" s="109"/>
    </row>
    <row r="528">
      <c r="E528" s="109"/>
    </row>
    <row r="529">
      <c r="E529" s="109"/>
    </row>
    <row r="530">
      <c r="E530" s="109"/>
    </row>
    <row r="531">
      <c r="E531" s="109"/>
    </row>
    <row r="532">
      <c r="E532" s="109"/>
    </row>
    <row r="533">
      <c r="E533" s="109"/>
    </row>
    <row r="534">
      <c r="E534" s="109"/>
    </row>
    <row r="535">
      <c r="E535" s="109"/>
    </row>
    <row r="536">
      <c r="E536" s="109"/>
    </row>
    <row r="537">
      <c r="E537" s="109"/>
    </row>
    <row r="538">
      <c r="E538" s="109"/>
    </row>
    <row r="539">
      <c r="E539" s="109"/>
    </row>
    <row r="540">
      <c r="E540" s="109"/>
    </row>
    <row r="541">
      <c r="E541" s="109"/>
    </row>
    <row r="542">
      <c r="E542" s="109"/>
    </row>
    <row r="543">
      <c r="E543" s="109"/>
    </row>
    <row r="544">
      <c r="E544" s="109"/>
    </row>
    <row r="545">
      <c r="E545" s="109"/>
    </row>
    <row r="546">
      <c r="E546" s="109"/>
    </row>
    <row r="547">
      <c r="E547" s="109"/>
    </row>
    <row r="548">
      <c r="E548" s="109"/>
    </row>
    <row r="549">
      <c r="E549" s="109"/>
    </row>
    <row r="550">
      <c r="E550" s="109"/>
    </row>
    <row r="551">
      <c r="E551" s="109"/>
    </row>
    <row r="552">
      <c r="E552" s="109"/>
    </row>
    <row r="553">
      <c r="E553" s="109"/>
    </row>
    <row r="554">
      <c r="E554" s="109"/>
    </row>
    <row r="555">
      <c r="E555" s="109"/>
    </row>
    <row r="556">
      <c r="E556" s="109"/>
    </row>
    <row r="557">
      <c r="E557" s="109"/>
    </row>
    <row r="558">
      <c r="E558" s="109"/>
    </row>
    <row r="559">
      <c r="E559" s="109"/>
    </row>
    <row r="560">
      <c r="E560" s="109"/>
    </row>
    <row r="561">
      <c r="E561" s="109"/>
    </row>
    <row r="562">
      <c r="E562" s="109"/>
    </row>
    <row r="563">
      <c r="E563" s="109"/>
    </row>
    <row r="564">
      <c r="E564" s="109"/>
    </row>
    <row r="565">
      <c r="E565" s="109"/>
    </row>
    <row r="566">
      <c r="E566" s="109"/>
    </row>
    <row r="567">
      <c r="E567" s="109"/>
    </row>
    <row r="568">
      <c r="E568" s="109"/>
    </row>
    <row r="569">
      <c r="E569" s="109"/>
    </row>
    <row r="570">
      <c r="E570" s="109"/>
    </row>
    <row r="571">
      <c r="E571" s="109"/>
    </row>
    <row r="572">
      <c r="E572" s="109"/>
    </row>
    <row r="573">
      <c r="E573" s="109"/>
    </row>
    <row r="574">
      <c r="E574" s="109"/>
    </row>
    <row r="575">
      <c r="E575" s="109"/>
    </row>
    <row r="576">
      <c r="E576" s="109"/>
    </row>
    <row r="577">
      <c r="E577" s="109"/>
    </row>
    <row r="578">
      <c r="E578" s="109"/>
    </row>
    <row r="579">
      <c r="E579" s="109"/>
    </row>
    <row r="580">
      <c r="E580" s="109"/>
    </row>
    <row r="581">
      <c r="E581" s="109"/>
    </row>
    <row r="582">
      <c r="E582" s="109"/>
    </row>
    <row r="583">
      <c r="E583" s="109"/>
    </row>
    <row r="584">
      <c r="E584" s="109"/>
    </row>
    <row r="585">
      <c r="E585" s="109"/>
    </row>
    <row r="586">
      <c r="E586" s="109"/>
    </row>
    <row r="587">
      <c r="E587" s="109"/>
    </row>
    <row r="588">
      <c r="E588" s="109"/>
    </row>
    <row r="589">
      <c r="E589" s="109"/>
    </row>
    <row r="590">
      <c r="E590" s="109"/>
    </row>
    <row r="591">
      <c r="E591" s="109"/>
    </row>
    <row r="592">
      <c r="E592" s="109"/>
    </row>
    <row r="593">
      <c r="E593" s="109"/>
    </row>
    <row r="594">
      <c r="E594" s="109"/>
    </row>
    <row r="595">
      <c r="E595" s="109"/>
    </row>
    <row r="596">
      <c r="E596" s="109"/>
    </row>
    <row r="597">
      <c r="E597" s="109"/>
    </row>
    <row r="598">
      <c r="E598" s="109"/>
    </row>
    <row r="599">
      <c r="E599" s="109"/>
    </row>
    <row r="600">
      <c r="E600" s="109"/>
    </row>
    <row r="601">
      <c r="E601" s="109"/>
    </row>
    <row r="602">
      <c r="E602" s="109"/>
    </row>
    <row r="603">
      <c r="E603" s="109"/>
    </row>
    <row r="604">
      <c r="E604" s="109"/>
    </row>
    <row r="605">
      <c r="E605" s="109"/>
    </row>
    <row r="606">
      <c r="E606" s="109"/>
    </row>
    <row r="607">
      <c r="E607" s="109"/>
    </row>
    <row r="608">
      <c r="E608" s="109"/>
    </row>
    <row r="609">
      <c r="E609" s="109"/>
    </row>
    <row r="610">
      <c r="E610" s="109"/>
    </row>
    <row r="611">
      <c r="E611" s="109"/>
    </row>
    <row r="612">
      <c r="E612" s="109"/>
    </row>
    <row r="613">
      <c r="E613" s="109"/>
    </row>
    <row r="614">
      <c r="E614" s="109"/>
    </row>
    <row r="615">
      <c r="E615" s="109"/>
    </row>
    <row r="616">
      <c r="E616" s="109"/>
    </row>
    <row r="617">
      <c r="E617" s="109"/>
    </row>
    <row r="618">
      <c r="E618" s="109"/>
    </row>
    <row r="619">
      <c r="E619" s="109"/>
    </row>
    <row r="620">
      <c r="E620" s="109"/>
    </row>
    <row r="621">
      <c r="E621" s="109"/>
    </row>
    <row r="622">
      <c r="E622" s="109"/>
    </row>
    <row r="623">
      <c r="E623" s="109"/>
    </row>
    <row r="624">
      <c r="E624" s="109"/>
    </row>
    <row r="625">
      <c r="E625" s="109"/>
    </row>
    <row r="626">
      <c r="E626" s="109"/>
    </row>
    <row r="627">
      <c r="E627" s="109"/>
    </row>
    <row r="628">
      <c r="E628" s="109"/>
    </row>
    <row r="629">
      <c r="E629" s="109"/>
    </row>
    <row r="630">
      <c r="E630" s="109"/>
    </row>
    <row r="631">
      <c r="E631" s="109"/>
    </row>
    <row r="632">
      <c r="E632" s="109"/>
    </row>
    <row r="633">
      <c r="E633" s="109"/>
    </row>
    <row r="634">
      <c r="E634" s="109"/>
    </row>
    <row r="635">
      <c r="E635" s="109"/>
    </row>
    <row r="636">
      <c r="E636" s="109"/>
    </row>
    <row r="637">
      <c r="E637" s="109"/>
    </row>
    <row r="638">
      <c r="E638" s="109"/>
    </row>
    <row r="639">
      <c r="E639" s="109"/>
    </row>
    <row r="640">
      <c r="E640" s="109"/>
    </row>
    <row r="641">
      <c r="E641" s="109"/>
    </row>
    <row r="642">
      <c r="E642" s="109"/>
    </row>
    <row r="643">
      <c r="E643" s="109"/>
    </row>
    <row r="644">
      <c r="E644" s="109"/>
    </row>
    <row r="645">
      <c r="E645" s="109"/>
    </row>
    <row r="646">
      <c r="E646" s="109"/>
    </row>
    <row r="647">
      <c r="E647" s="109"/>
    </row>
    <row r="648">
      <c r="E648" s="109"/>
    </row>
    <row r="649">
      <c r="E649" s="109"/>
    </row>
    <row r="650">
      <c r="E650" s="109"/>
    </row>
    <row r="651">
      <c r="E651" s="109"/>
    </row>
    <row r="652">
      <c r="E652" s="109"/>
    </row>
    <row r="653">
      <c r="E653" s="109"/>
    </row>
    <row r="654">
      <c r="E654" s="109"/>
    </row>
    <row r="655">
      <c r="E655" s="109"/>
    </row>
    <row r="656">
      <c r="E656" s="109"/>
    </row>
    <row r="657">
      <c r="E657" s="109"/>
    </row>
    <row r="658">
      <c r="E658" s="109"/>
    </row>
    <row r="659">
      <c r="E659" s="109"/>
    </row>
    <row r="660">
      <c r="E660" s="109"/>
    </row>
    <row r="661">
      <c r="E661" s="109"/>
    </row>
    <row r="662">
      <c r="E662" s="109"/>
    </row>
    <row r="663">
      <c r="E663" s="109"/>
    </row>
    <row r="664">
      <c r="E664" s="109"/>
    </row>
    <row r="665">
      <c r="E665" s="109"/>
    </row>
    <row r="666">
      <c r="E666" s="109"/>
    </row>
    <row r="667">
      <c r="E667" s="109"/>
    </row>
    <row r="668">
      <c r="E668" s="109"/>
    </row>
    <row r="669">
      <c r="E669" s="109"/>
    </row>
    <row r="670">
      <c r="E670" s="109"/>
    </row>
    <row r="671">
      <c r="E671" s="109"/>
    </row>
    <row r="672">
      <c r="E672" s="109"/>
    </row>
    <row r="673">
      <c r="E673" s="109"/>
    </row>
    <row r="674">
      <c r="E674" s="109"/>
    </row>
    <row r="675">
      <c r="E675" s="109"/>
    </row>
    <row r="676">
      <c r="E676" s="109"/>
    </row>
    <row r="677">
      <c r="E677" s="109"/>
    </row>
    <row r="678">
      <c r="E678" s="109"/>
    </row>
    <row r="679">
      <c r="E679" s="109"/>
    </row>
    <row r="680">
      <c r="E680" s="109"/>
    </row>
    <row r="681">
      <c r="E681" s="109"/>
    </row>
    <row r="682">
      <c r="E682" s="109"/>
    </row>
    <row r="683">
      <c r="E683" s="109"/>
    </row>
    <row r="684">
      <c r="E684" s="109"/>
    </row>
    <row r="685">
      <c r="E685" s="109"/>
    </row>
    <row r="686">
      <c r="E686" s="109"/>
    </row>
    <row r="687">
      <c r="E687" s="109"/>
    </row>
    <row r="688">
      <c r="E688" s="109"/>
    </row>
    <row r="689">
      <c r="E689" s="109"/>
    </row>
    <row r="690">
      <c r="E690" s="109"/>
    </row>
    <row r="691">
      <c r="E691" s="109"/>
    </row>
    <row r="692">
      <c r="E692" s="109"/>
    </row>
    <row r="693">
      <c r="E693" s="109"/>
    </row>
    <row r="694">
      <c r="E694" s="109"/>
    </row>
    <row r="695">
      <c r="E695" s="109"/>
    </row>
    <row r="696">
      <c r="E696" s="109"/>
    </row>
    <row r="697">
      <c r="E697" s="109"/>
    </row>
    <row r="698">
      <c r="E698" s="109"/>
    </row>
    <row r="699">
      <c r="E699" s="109"/>
    </row>
    <row r="700">
      <c r="E700" s="109"/>
    </row>
    <row r="701">
      <c r="E701" s="109"/>
    </row>
    <row r="702">
      <c r="E702" s="109"/>
    </row>
    <row r="703">
      <c r="E703" s="109"/>
    </row>
    <row r="704">
      <c r="E704" s="109"/>
    </row>
    <row r="705">
      <c r="E705" s="109"/>
    </row>
    <row r="706">
      <c r="E706" s="109"/>
    </row>
    <row r="707">
      <c r="E707" s="109"/>
    </row>
    <row r="708">
      <c r="E708" s="109"/>
    </row>
    <row r="709">
      <c r="E709" s="109"/>
    </row>
    <row r="710">
      <c r="E710" s="109"/>
    </row>
    <row r="711">
      <c r="E711" s="109"/>
    </row>
    <row r="712">
      <c r="E712" s="109"/>
    </row>
    <row r="713">
      <c r="E713" s="109"/>
    </row>
    <row r="714">
      <c r="E714" s="109"/>
    </row>
    <row r="715">
      <c r="E715" s="109"/>
    </row>
    <row r="716">
      <c r="E716" s="109"/>
    </row>
    <row r="717">
      <c r="E717" s="109"/>
    </row>
    <row r="718">
      <c r="E718" s="109"/>
    </row>
    <row r="719">
      <c r="E719" s="109"/>
    </row>
    <row r="720">
      <c r="E720" s="109"/>
    </row>
    <row r="721">
      <c r="E721" s="109"/>
    </row>
    <row r="722">
      <c r="E722" s="109"/>
    </row>
    <row r="723">
      <c r="E723" s="109"/>
    </row>
    <row r="724">
      <c r="E724" s="109"/>
    </row>
    <row r="725">
      <c r="E725" s="109"/>
    </row>
    <row r="726">
      <c r="E726" s="109"/>
    </row>
    <row r="727">
      <c r="E727" s="109"/>
    </row>
    <row r="728">
      <c r="E728" s="109"/>
    </row>
    <row r="729">
      <c r="E729" s="109"/>
    </row>
    <row r="730">
      <c r="E730" s="109"/>
    </row>
    <row r="731">
      <c r="E731" s="109"/>
    </row>
    <row r="732">
      <c r="E732" s="109"/>
    </row>
    <row r="733">
      <c r="E733" s="109"/>
    </row>
    <row r="734">
      <c r="E734" s="109"/>
    </row>
    <row r="735">
      <c r="E735" s="109"/>
    </row>
    <row r="736">
      <c r="E736" s="109"/>
    </row>
    <row r="737">
      <c r="E737" s="109"/>
    </row>
    <row r="738">
      <c r="E738" s="109"/>
    </row>
    <row r="739">
      <c r="E739" s="109"/>
    </row>
    <row r="740">
      <c r="E740" s="109"/>
    </row>
    <row r="741">
      <c r="E741" s="109"/>
    </row>
    <row r="742">
      <c r="E742" s="109"/>
    </row>
    <row r="743">
      <c r="E743" s="109"/>
    </row>
    <row r="744">
      <c r="E744" s="109"/>
    </row>
    <row r="745">
      <c r="E745" s="109"/>
    </row>
    <row r="746">
      <c r="E746" s="109"/>
    </row>
    <row r="747">
      <c r="E747" s="109"/>
    </row>
    <row r="748">
      <c r="E748" s="109"/>
    </row>
    <row r="749">
      <c r="E749" s="109"/>
    </row>
    <row r="750">
      <c r="E750" s="109"/>
    </row>
    <row r="751">
      <c r="E751" s="109"/>
    </row>
    <row r="752">
      <c r="E752" s="109"/>
    </row>
    <row r="753">
      <c r="E753" s="109"/>
    </row>
    <row r="754">
      <c r="E754" s="109"/>
    </row>
    <row r="755">
      <c r="E755" s="109"/>
    </row>
    <row r="756">
      <c r="E756" s="109"/>
    </row>
    <row r="757">
      <c r="E757" s="109"/>
    </row>
    <row r="758">
      <c r="E758" s="109"/>
    </row>
    <row r="759">
      <c r="E759" s="109"/>
    </row>
    <row r="760">
      <c r="E760" s="109"/>
    </row>
    <row r="761">
      <c r="E761" s="109"/>
    </row>
    <row r="762">
      <c r="E762" s="109"/>
    </row>
    <row r="763">
      <c r="E763" s="109"/>
    </row>
    <row r="764">
      <c r="E764" s="109"/>
    </row>
    <row r="765">
      <c r="E765" s="109"/>
    </row>
    <row r="766">
      <c r="E766" s="109"/>
    </row>
    <row r="767">
      <c r="E767" s="109"/>
    </row>
    <row r="768">
      <c r="E768" s="109"/>
    </row>
    <row r="769">
      <c r="E769" s="109"/>
    </row>
    <row r="770">
      <c r="E770" s="109"/>
    </row>
    <row r="771">
      <c r="E771" s="109"/>
    </row>
    <row r="772">
      <c r="E772" s="109"/>
    </row>
    <row r="773">
      <c r="E773" s="109"/>
    </row>
    <row r="774">
      <c r="E774" s="109"/>
    </row>
    <row r="775">
      <c r="E775" s="109"/>
    </row>
    <row r="776">
      <c r="E776" s="109"/>
    </row>
    <row r="777">
      <c r="E777" s="109"/>
    </row>
    <row r="778">
      <c r="E778" s="109"/>
    </row>
    <row r="779">
      <c r="E779" s="109"/>
    </row>
    <row r="780">
      <c r="E780" s="109"/>
    </row>
    <row r="781">
      <c r="E781" s="109"/>
    </row>
    <row r="782">
      <c r="E782" s="109"/>
    </row>
    <row r="783">
      <c r="E783" s="109"/>
    </row>
    <row r="784">
      <c r="E784" s="109"/>
    </row>
    <row r="785">
      <c r="E785" s="109"/>
    </row>
    <row r="786">
      <c r="E786" s="109"/>
    </row>
    <row r="787">
      <c r="E787" s="109"/>
    </row>
    <row r="788">
      <c r="E788" s="109"/>
    </row>
    <row r="789">
      <c r="E789" s="109"/>
    </row>
    <row r="790">
      <c r="E790" s="109"/>
    </row>
    <row r="791">
      <c r="E791" s="109"/>
    </row>
    <row r="792">
      <c r="E792" s="109"/>
    </row>
    <row r="793">
      <c r="E793" s="109"/>
    </row>
    <row r="794">
      <c r="E794" s="109"/>
    </row>
    <row r="795">
      <c r="E795" s="109"/>
    </row>
    <row r="796">
      <c r="E796" s="109"/>
    </row>
    <row r="797">
      <c r="E797" s="109"/>
    </row>
    <row r="798">
      <c r="E798" s="109"/>
    </row>
    <row r="799">
      <c r="E799" s="109"/>
    </row>
    <row r="800">
      <c r="E800" s="109"/>
    </row>
    <row r="801">
      <c r="E801" s="109"/>
    </row>
    <row r="802">
      <c r="E802" s="109"/>
    </row>
    <row r="803">
      <c r="E803" s="109"/>
    </row>
    <row r="804">
      <c r="E804" s="109"/>
    </row>
    <row r="805">
      <c r="E805" s="109"/>
    </row>
    <row r="806">
      <c r="E806" s="109"/>
    </row>
    <row r="807">
      <c r="E807" s="109"/>
    </row>
    <row r="808">
      <c r="E808" s="109"/>
    </row>
    <row r="809">
      <c r="E809" s="109"/>
    </row>
    <row r="810">
      <c r="E810" s="109"/>
    </row>
    <row r="811">
      <c r="E811" s="109"/>
    </row>
    <row r="812">
      <c r="E812" s="109"/>
    </row>
    <row r="813">
      <c r="E813" s="109"/>
    </row>
    <row r="814">
      <c r="E814" s="109"/>
    </row>
    <row r="815">
      <c r="E815" s="109"/>
    </row>
    <row r="816">
      <c r="E816" s="109"/>
    </row>
    <row r="817">
      <c r="E817" s="109"/>
    </row>
    <row r="818">
      <c r="E818" s="109"/>
    </row>
    <row r="819">
      <c r="E819" s="109"/>
    </row>
    <row r="820">
      <c r="E820" s="109"/>
    </row>
    <row r="821">
      <c r="E821" s="109"/>
    </row>
    <row r="822">
      <c r="E822" s="109"/>
    </row>
    <row r="823">
      <c r="E823" s="109"/>
    </row>
    <row r="824">
      <c r="E824" s="109"/>
    </row>
    <row r="825">
      <c r="E825" s="109"/>
    </row>
    <row r="826">
      <c r="E826" s="109"/>
    </row>
    <row r="827">
      <c r="E827" s="109"/>
    </row>
    <row r="828">
      <c r="E828" s="109"/>
    </row>
    <row r="829">
      <c r="E829" s="109"/>
    </row>
    <row r="830">
      <c r="E830" s="109"/>
    </row>
    <row r="831">
      <c r="E831" s="109"/>
    </row>
    <row r="832">
      <c r="E832" s="109"/>
    </row>
    <row r="833">
      <c r="E833" s="109"/>
    </row>
    <row r="834">
      <c r="E834" s="109"/>
    </row>
    <row r="835">
      <c r="E835" s="109"/>
    </row>
    <row r="836">
      <c r="E836" s="109"/>
    </row>
    <row r="837">
      <c r="E837" s="109"/>
    </row>
    <row r="838">
      <c r="E838" s="109"/>
    </row>
    <row r="839">
      <c r="E839" s="109"/>
    </row>
    <row r="840">
      <c r="E840" s="109"/>
    </row>
    <row r="841">
      <c r="E841" s="109"/>
    </row>
    <row r="842">
      <c r="E842" s="109"/>
    </row>
    <row r="843">
      <c r="E843" s="109"/>
    </row>
    <row r="844">
      <c r="E844" s="109"/>
    </row>
    <row r="845">
      <c r="E845" s="109"/>
    </row>
    <row r="846">
      <c r="E846" s="109"/>
    </row>
    <row r="847">
      <c r="E847" s="109"/>
    </row>
    <row r="848">
      <c r="E848" s="109"/>
    </row>
    <row r="849">
      <c r="E849" s="109"/>
    </row>
    <row r="850">
      <c r="E850" s="109"/>
    </row>
    <row r="851">
      <c r="E851" s="109"/>
    </row>
    <row r="852">
      <c r="E852" s="109"/>
    </row>
    <row r="853">
      <c r="E853" s="109"/>
    </row>
    <row r="854">
      <c r="E854" s="109"/>
    </row>
    <row r="855">
      <c r="E855" s="109"/>
    </row>
    <row r="856">
      <c r="E856" s="109"/>
    </row>
    <row r="857">
      <c r="E857" s="109"/>
    </row>
    <row r="858">
      <c r="E858" s="109"/>
    </row>
    <row r="859">
      <c r="E859" s="109"/>
    </row>
    <row r="860">
      <c r="E860" s="109"/>
    </row>
    <row r="861">
      <c r="E861" s="109"/>
    </row>
    <row r="862">
      <c r="E862" s="109"/>
    </row>
    <row r="863">
      <c r="E863" s="109"/>
    </row>
    <row r="864">
      <c r="E864" s="109"/>
    </row>
    <row r="865">
      <c r="E865" s="109"/>
    </row>
    <row r="866">
      <c r="E866" s="109"/>
    </row>
    <row r="867">
      <c r="E867" s="109"/>
    </row>
    <row r="868">
      <c r="E868" s="109"/>
    </row>
    <row r="869">
      <c r="E869" s="109"/>
    </row>
    <row r="870">
      <c r="E870" s="109"/>
    </row>
    <row r="871">
      <c r="E871" s="109"/>
    </row>
    <row r="872">
      <c r="E872" s="109"/>
    </row>
    <row r="873">
      <c r="E873" s="109"/>
    </row>
    <row r="874">
      <c r="E874" s="109"/>
    </row>
    <row r="875">
      <c r="E875" s="109"/>
    </row>
    <row r="876">
      <c r="E876" s="109"/>
    </row>
    <row r="877">
      <c r="E877" s="109"/>
    </row>
    <row r="878">
      <c r="E878" s="109"/>
    </row>
    <row r="879">
      <c r="E879" s="109"/>
    </row>
    <row r="880">
      <c r="E880" s="109"/>
    </row>
    <row r="881">
      <c r="E881" s="109"/>
    </row>
    <row r="882">
      <c r="E882" s="109"/>
    </row>
    <row r="883">
      <c r="E883" s="109"/>
    </row>
    <row r="884">
      <c r="E884" s="109"/>
    </row>
    <row r="885">
      <c r="E885" s="109"/>
    </row>
    <row r="886">
      <c r="E886" s="109"/>
    </row>
    <row r="887">
      <c r="E887" s="109"/>
    </row>
    <row r="888">
      <c r="E888" s="109"/>
    </row>
    <row r="889">
      <c r="E889" s="109"/>
    </row>
    <row r="890">
      <c r="E890" s="109"/>
    </row>
    <row r="891">
      <c r="E891" s="109"/>
    </row>
    <row r="892">
      <c r="E892" s="109"/>
    </row>
    <row r="893">
      <c r="E893" s="109"/>
    </row>
    <row r="894">
      <c r="E894" s="109"/>
    </row>
    <row r="895">
      <c r="E895" s="109"/>
    </row>
    <row r="896">
      <c r="E896" s="109"/>
    </row>
    <row r="897">
      <c r="E897" s="109"/>
    </row>
    <row r="898">
      <c r="E898" s="109"/>
    </row>
    <row r="899">
      <c r="E899" s="109"/>
    </row>
    <row r="900">
      <c r="E900" s="109"/>
    </row>
    <row r="901">
      <c r="E901" s="109"/>
    </row>
    <row r="902">
      <c r="E902" s="109"/>
    </row>
    <row r="903">
      <c r="E903" s="109"/>
    </row>
    <row r="904">
      <c r="E904" s="109"/>
    </row>
    <row r="905">
      <c r="E905" s="109"/>
    </row>
    <row r="906">
      <c r="E906" s="109"/>
    </row>
    <row r="907">
      <c r="E907" s="109"/>
    </row>
    <row r="908">
      <c r="E908" s="109"/>
    </row>
    <row r="909">
      <c r="E909" s="109"/>
    </row>
    <row r="910">
      <c r="E910" s="109"/>
    </row>
    <row r="911">
      <c r="E911" s="109"/>
    </row>
    <row r="912">
      <c r="E912" s="109"/>
    </row>
    <row r="913">
      <c r="E913" s="109"/>
    </row>
    <row r="914">
      <c r="E914" s="109"/>
    </row>
    <row r="915">
      <c r="E915" s="109"/>
    </row>
    <row r="916">
      <c r="E916" s="109"/>
    </row>
    <row r="917">
      <c r="E917" s="109"/>
    </row>
    <row r="918">
      <c r="E918" s="109"/>
    </row>
    <row r="919">
      <c r="E919" s="109"/>
    </row>
    <row r="920">
      <c r="E920" s="109"/>
    </row>
    <row r="921">
      <c r="E921" s="109"/>
    </row>
    <row r="922">
      <c r="E922" s="109"/>
    </row>
    <row r="923">
      <c r="E923" s="109"/>
    </row>
    <row r="924">
      <c r="E924" s="109"/>
    </row>
    <row r="925">
      <c r="E925" s="109"/>
    </row>
    <row r="926">
      <c r="E926" s="109"/>
    </row>
    <row r="927">
      <c r="E927" s="109"/>
    </row>
    <row r="928">
      <c r="E928" s="109"/>
    </row>
    <row r="929">
      <c r="E929" s="109"/>
    </row>
    <row r="930">
      <c r="E930" s="109"/>
    </row>
    <row r="931">
      <c r="E931" s="109"/>
    </row>
    <row r="932">
      <c r="E932" s="109"/>
    </row>
    <row r="933">
      <c r="E933" s="109"/>
    </row>
    <row r="934">
      <c r="E934" s="109"/>
    </row>
    <row r="935">
      <c r="E935" s="109"/>
    </row>
    <row r="936">
      <c r="E936" s="109"/>
    </row>
    <row r="937">
      <c r="E937" s="109"/>
    </row>
    <row r="938">
      <c r="E938" s="109"/>
    </row>
    <row r="939">
      <c r="E939" s="109"/>
    </row>
    <row r="940">
      <c r="E940" s="109"/>
    </row>
    <row r="941">
      <c r="E941" s="109"/>
    </row>
    <row r="942">
      <c r="E942" s="109"/>
    </row>
    <row r="943">
      <c r="E943" s="109"/>
    </row>
    <row r="944">
      <c r="E944" s="109"/>
    </row>
    <row r="945">
      <c r="E945" s="109"/>
    </row>
    <row r="946">
      <c r="E946" s="109"/>
    </row>
    <row r="947">
      <c r="E947" s="109"/>
    </row>
    <row r="948">
      <c r="E948" s="109"/>
    </row>
    <row r="949">
      <c r="E949" s="109"/>
    </row>
    <row r="950">
      <c r="E950" s="109"/>
    </row>
    <row r="951">
      <c r="E951" s="109"/>
    </row>
    <row r="952">
      <c r="E952" s="109"/>
    </row>
    <row r="953">
      <c r="E953" s="109"/>
    </row>
    <row r="954">
      <c r="E954" s="109"/>
    </row>
    <row r="955">
      <c r="E955" s="109"/>
    </row>
    <row r="956">
      <c r="E956" s="109"/>
    </row>
    <row r="957">
      <c r="E957" s="109"/>
    </row>
    <row r="958">
      <c r="E958" s="109"/>
    </row>
    <row r="959">
      <c r="E959" s="109"/>
    </row>
    <row r="960">
      <c r="E960" s="109"/>
    </row>
    <row r="961">
      <c r="E961" s="109"/>
    </row>
    <row r="962">
      <c r="E962" s="109"/>
    </row>
    <row r="963">
      <c r="E963" s="109"/>
    </row>
    <row r="964">
      <c r="E964" s="109"/>
    </row>
    <row r="965">
      <c r="E965" s="109"/>
    </row>
    <row r="966">
      <c r="E966" s="109"/>
    </row>
    <row r="967">
      <c r="E967" s="109"/>
    </row>
    <row r="968">
      <c r="E968" s="109"/>
    </row>
    <row r="969">
      <c r="E969" s="109"/>
    </row>
    <row r="970">
      <c r="E970" s="109"/>
    </row>
    <row r="971">
      <c r="E971" s="109"/>
    </row>
    <row r="972">
      <c r="E972" s="109"/>
    </row>
    <row r="973">
      <c r="E973" s="109"/>
    </row>
    <row r="974">
      <c r="E974" s="109"/>
    </row>
    <row r="975">
      <c r="E975" s="109"/>
    </row>
    <row r="976">
      <c r="E976" s="109"/>
    </row>
    <row r="977">
      <c r="E977" s="109"/>
    </row>
    <row r="978">
      <c r="E978" s="109"/>
    </row>
    <row r="979">
      <c r="E979" s="109"/>
    </row>
    <row r="980">
      <c r="E980" s="109"/>
    </row>
    <row r="981">
      <c r="E981" s="109"/>
    </row>
    <row r="982">
      <c r="E982" s="109"/>
    </row>
    <row r="983">
      <c r="E983" s="109"/>
    </row>
    <row r="984">
      <c r="E984" s="109"/>
    </row>
    <row r="985">
      <c r="E985" s="109"/>
    </row>
    <row r="986">
      <c r="E986" s="109"/>
    </row>
    <row r="987">
      <c r="E987" s="109"/>
    </row>
    <row r="988">
      <c r="E988" s="109"/>
    </row>
    <row r="989">
      <c r="E989" s="109"/>
    </row>
    <row r="990">
      <c r="E990" s="109"/>
    </row>
    <row r="991">
      <c r="E991" s="109"/>
    </row>
    <row r="992">
      <c r="E992" s="109"/>
    </row>
    <row r="993">
      <c r="E993" s="109"/>
    </row>
    <row r="994">
      <c r="E994" s="109"/>
    </row>
    <row r="995">
      <c r="E995" s="109"/>
    </row>
    <row r="996">
      <c r="E996" s="109"/>
    </row>
    <row r="997">
      <c r="E997" s="109"/>
    </row>
    <row r="998">
      <c r="E998" s="109"/>
    </row>
    <row r="999">
      <c r="E999" s="109"/>
    </row>
    <row r="1000">
      <c r="E1000" s="10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0"/>
    <col customWidth="1" min="2" max="2" width="12.38"/>
    <col customWidth="1" min="3" max="3" width="12.5"/>
    <col customWidth="1" min="4" max="4" width="12.38"/>
    <col customWidth="1" min="5" max="5" width="9.25"/>
    <col customWidth="1" min="6" max="6" width="10.75"/>
    <col customWidth="1" min="7" max="7" width="13.88"/>
    <col customWidth="1" min="8" max="8" width="17.0"/>
    <col customWidth="1" min="9" max="9" width="37.5"/>
    <col customWidth="1" min="10" max="10" width="30.88"/>
    <col customWidth="1" min="11" max="11" width="15.0"/>
    <col customWidth="1" min="12" max="26" width="7.63"/>
  </cols>
  <sheetData>
    <row r="1" ht="18.75" customHeight="1">
      <c r="A1" s="110" t="s">
        <v>1579</v>
      </c>
      <c r="B1" s="110" t="s">
        <v>1580</v>
      </c>
      <c r="C1" s="110" t="s">
        <v>1581</v>
      </c>
      <c r="D1" s="110" t="s">
        <v>1582</v>
      </c>
      <c r="E1" s="110" t="s">
        <v>1583</v>
      </c>
      <c r="F1" s="110" t="s">
        <v>1584</v>
      </c>
      <c r="G1" s="110" t="s">
        <v>1585</v>
      </c>
      <c r="H1" s="110" t="s">
        <v>1586</v>
      </c>
      <c r="I1" s="110" t="s">
        <v>1587</v>
      </c>
      <c r="J1" s="110" t="s">
        <v>1588</v>
      </c>
      <c r="K1" s="11" t="s">
        <v>1589</v>
      </c>
    </row>
    <row r="2" ht="18.75" customHeight="1">
      <c r="A2" s="111" t="s">
        <v>1590</v>
      </c>
      <c r="B2" s="111" t="s">
        <v>1591</v>
      </c>
      <c r="C2" s="111" t="s">
        <v>1592</v>
      </c>
      <c r="D2" s="111" t="s">
        <v>1593</v>
      </c>
      <c r="E2" s="111" t="s">
        <v>1594</v>
      </c>
      <c r="F2" s="112">
        <v>300.0</v>
      </c>
      <c r="G2" s="111" t="s">
        <v>1596</v>
      </c>
      <c r="H2" s="111" t="s">
        <v>1597</v>
      </c>
      <c r="I2" s="111" t="s">
        <v>1598</v>
      </c>
      <c r="J2" s="111" t="s">
        <v>1599</v>
      </c>
      <c r="K2" s="19" t="str">
        <f>IF(COUNTIF(bystudent!B:B, G2) &gt; 0, "yes", "no")</f>
        <v>yes</v>
      </c>
    </row>
    <row r="3" ht="18.75" customHeight="1">
      <c r="A3" s="111" t="s">
        <v>1590</v>
      </c>
      <c r="B3" s="111" t="s">
        <v>1591</v>
      </c>
      <c r="C3" s="111" t="s">
        <v>1592</v>
      </c>
      <c r="D3" s="111" t="s">
        <v>1593</v>
      </c>
      <c r="E3" s="111" t="s">
        <v>1594</v>
      </c>
      <c r="F3" s="112">
        <v>300.0</v>
      </c>
      <c r="G3" s="111" t="s">
        <v>1601</v>
      </c>
      <c r="H3" s="111" t="s">
        <v>1602</v>
      </c>
      <c r="I3" s="111" t="s">
        <v>1603</v>
      </c>
      <c r="J3" s="111" t="s">
        <v>1604</v>
      </c>
      <c r="K3" s="19" t="str">
        <f>IF(COUNTIF(bystudent!B:B, G3) &gt; 0, "yes", "no")</f>
        <v>yes</v>
      </c>
    </row>
    <row r="4" ht="18.75" customHeight="1">
      <c r="A4" s="111" t="s">
        <v>1590</v>
      </c>
      <c r="B4" s="111" t="s">
        <v>1591</v>
      </c>
      <c r="C4" s="111" t="s">
        <v>1592</v>
      </c>
      <c r="D4" s="111" t="s">
        <v>1593</v>
      </c>
      <c r="E4" s="111" t="s">
        <v>1594</v>
      </c>
      <c r="F4" s="112">
        <v>300.0</v>
      </c>
      <c r="G4" s="111" t="s">
        <v>1605</v>
      </c>
      <c r="H4" s="111" t="s">
        <v>1606</v>
      </c>
      <c r="I4" s="111" t="s">
        <v>1607</v>
      </c>
      <c r="J4" s="111" t="s">
        <v>1608</v>
      </c>
      <c r="K4" s="19" t="str">
        <f>IF(COUNTIF(bystudent!B:B, G4) &gt; 0, "yes", "no")</f>
        <v>yes</v>
      </c>
    </row>
    <row r="5" ht="18.75" customHeight="1">
      <c r="A5" s="111" t="s">
        <v>1590</v>
      </c>
      <c r="B5" s="111" t="s">
        <v>1591</v>
      </c>
      <c r="C5" s="111" t="s">
        <v>1592</v>
      </c>
      <c r="D5" s="111" t="s">
        <v>1593</v>
      </c>
      <c r="E5" s="111" t="s">
        <v>1594</v>
      </c>
      <c r="F5" s="112">
        <v>300.0</v>
      </c>
      <c r="G5" s="111" t="s">
        <v>1609</v>
      </c>
      <c r="H5" s="111" t="s">
        <v>1610</v>
      </c>
      <c r="I5" s="111" t="s">
        <v>1611</v>
      </c>
      <c r="J5" s="111" t="s">
        <v>1612</v>
      </c>
      <c r="K5" s="19" t="str">
        <f>IF(COUNTIF(bystudent!B:B, G5) &gt; 0, "yes", "no")</f>
        <v>yes</v>
      </c>
    </row>
    <row r="6" ht="18.75" customHeight="1">
      <c r="A6" s="111" t="s">
        <v>1590</v>
      </c>
      <c r="B6" s="111" t="s">
        <v>1591</v>
      </c>
      <c r="C6" s="111" t="s">
        <v>1592</v>
      </c>
      <c r="D6" s="111" t="s">
        <v>1593</v>
      </c>
      <c r="E6" s="111" t="s">
        <v>1594</v>
      </c>
      <c r="F6" s="112">
        <v>300.0</v>
      </c>
      <c r="G6" s="111" t="s">
        <v>1614</v>
      </c>
      <c r="H6" s="111" t="s">
        <v>1615</v>
      </c>
      <c r="I6" s="111" t="s">
        <v>1616</v>
      </c>
      <c r="J6" s="111" t="s">
        <v>1617</v>
      </c>
      <c r="K6" s="19" t="str">
        <f>IF(COUNTIF(bystudent!B:B, G6) &gt; 0, "yes", "no")</f>
        <v>yes</v>
      </c>
    </row>
    <row r="7" ht="18.75" customHeight="1">
      <c r="A7" s="111" t="s">
        <v>1590</v>
      </c>
      <c r="B7" s="111" t="s">
        <v>1591</v>
      </c>
      <c r="C7" s="111" t="s">
        <v>1592</v>
      </c>
      <c r="D7" s="111" t="s">
        <v>1593</v>
      </c>
      <c r="E7" s="111" t="s">
        <v>1594</v>
      </c>
      <c r="F7" s="112">
        <v>300.0</v>
      </c>
      <c r="G7" s="111" t="s">
        <v>1618</v>
      </c>
      <c r="H7" s="111" t="s">
        <v>1619</v>
      </c>
      <c r="I7" s="111" t="s">
        <v>1620</v>
      </c>
      <c r="J7" s="111" t="s">
        <v>1621</v>
      </c>
      <c r="K7" s="19" t="str">
        <f>IF(COUNTIF(bystudent!B:B, G7) &gt; 0, "yes", "no")</f>
        <v>yes</v>
      </c>
    </row>
    <row r="8" ht="18.75" customHeight="1">
      <c r="A8" s="111" t="s">
        <v>1590</v>
      </c>
      <c r="B8" s="111" t="s">
        <v>1591</v>
      </c>
      <c r="C8" s="111" t="s">
        <v>1592</v>
      </c>
      <c r="D8" s="111" t="s">
        <v>1593</v>
      </c>
      <c r="E8" s="111" t="s">
        <v>1594</v>
      </c>
      <c r="F8" s="112">
        <v>300.0</v>
      </c>
      <c r="G8" s="111" t="s">
        <v>1622</v>
      </c>
      <c r="H8" s="111" t="s">
        <v>1241</v>
      </c>
      <c r="I8" s="111" t="s">
        <v>1623</v>
      </c>
      <c r="J8" s="111" t="s">
        <v>1244</v>
      </c>
      <c r="K8" s="19" t="str">
        <f>IF(COUNTIF(bystudent!B:B, G8) &gt; 0, "yes", "no")</f>
        <v>yes</v>
      </c>
    </row>
    <row r="9" ht="18.75" customHeight="1">
      <c r="A9" s="111" t="s">
        <v>1590</v>
      </c>
      <c r="B9" s="111" t="s">
        <v>1591</v>
      </c>
      <c r="C9" s="111" t="s">
        <v>1592</v>
      </c>
      <c r="D9" s="111" t="s">
        <v>1593</v>
      </c>
      <c r="E9" s="111" t="s">
        <v>1594</v>
      </c>
      <c r="F9" s="112">
        <v>300.0</v>
      </c>
      <c r="G9" s="111" t="s">
        <v>1624</v>
      </c>
      <c r="H9" s="111" t="s">
        <v>1377</v>
      </c>
      <c r="I9" s="111" t="s">
        <v>1625</v>
      </c>
      <c r="J9" s="111" t="s">
        <v>1376</v>
      </c>
      <c r="K9" s="19" t="str">
        <f>IF(COUNTIF(bystudent!B:B, G9) &gt; 0, "yes", "no")</f>
        <v>yes</v>
      </c>
    </row>
    <row r="10" ht="18.75" customHeight="1">
      <c r="A10" s="111" t="s">
        <v>1590</v>
      </c>
      <c r="B10" s="111" t="s">
        <v>1591</v>
      </c>
      <c r="C10" s="111" t="s">
        <v>1592</v>
      </c>
      <c r="D10" s="111" t="s">
        <v>1593</v>
      </c>
      <c r="E10" s="111" t="s">
        <v>1594</v>
      </c>
      <c r="F10" s="112">
        <v>300.0</v>
      </c>
      <c r="G10" s="111" t="s">
        <v>1627</v>
      </c>
      <c r="H10" s="111" t="s">
        <v>506</v>
      </c>
      <c r="I10" s="111" t="s">
        <v>1628</v>
      </c>
      <c r="J10" s="111" t="s">
        <v>508</v>
      </c>
      <c r="K10" s="19" t="str">
        <f>IF(COUNTIF(bystudent!B:B, G10) &gt; 0, "yes", "no")</f>
        <v>yes</v>
      </c>
    </row>
    <row r="11" ht="18.75" customHeight="1">
      <c r="A11" s="111" t="s">
        <v>1590</v>
      </c>
      <c r="B11" s="111" t="s">
        <v>1591</v>
      </c>
      <c r="C11" s="111" t="s">
        <v>1592</v>
      </c>
      <c r="D11" s="111" t="s">
        <v>1593</v>
      </c>
      <c r="E11" s="111" t="s">
        <v>1594</v>
      </c>
      <c r="F11" s="112">
        <v>300.0</v>
      </c>
      <c r="G11" s="111" t="s">
        <v>1629</v>
      </c>
      <c r="H11" s="111" t="s">
        <v>1434</v>
      </c>
      <c r="I11" s="111" t="s">
        <v>1630</v>
      </c>
      <c r="J11" s="111" t="s">
        <v>1433</v>
      </c>
      <c r="K11" s="19" t="str">
        <f>IF(COUNTIF(bystudent!B:B, G11) &gt; 0, "yes", "no")</f>
        <v>yes</v>
      </c>
    </row>
    <row r="12" ht="18.75" customHeight="1">
      <c r="A12" s="111" t="s">
        <v>1590</v>
      </c>
      <c r="B12" s="111" t="s">
        <v>1591</v>
      </c>
      <c r="C12" s="111" t="s">
        <v>1592</v>
      </c>
      <c r="D12" s="111" t="s">
        <v>1593</v>
      </c>
      <c r="E12" s="111" t="s">
        <v>1594</v>
      </c>
      <c r="F12" s="112">
        <v>300.0</v>
      </c>
      <c r="G12" s="111" t="s">
        <v>1631</v>
      </c>
      <c r="H12" s="111" t="s">
        <v>161</v>
      </c>
      <c r="I12" s="111" t="s">
        <v>1633</v>
      </c>
      <c r="J12" s="111" t="s">
        <v>1122</v>
      </c>
      <c r="K12" s="19" t="str">
        <f>IF(COUNTIF(bystudent!B:B, G12) &gt; 0, "yes", "no")</f>
        <v>yes</v>
      </c>
    </row>
    <row r="13" ht="18.75" customHeight="1">
      <c r="A13" s="111" t="s">
        <v>1590</v>
      </c>
      <c r="B13" s="111" t="s">
        <v>1591</v>
      </c>
      <c r="C13" s="111" t="s">
        <v>1592</v>
      </c>
      <c r="D13" s="111" t="s">
        <v>1593</v>
      </c>
      <c r="E13" s="111" t="s">
        <v>1594</v>
      </c>
      <c r="F13" s="112">
        <v>300.0</v>
      </c>
      <c r="G13" s="111" t="s">
        <v>1634</v>
      </c>
      <c r="H13" s="111" t="s">
        <v>214</v>
      </c>
      <c r="I13" s="111" t="s">
        <v>1635</v>
      </c>
      <c r="J13" s="111" t="s">
        <v>1009</v>
      </c>
      <c r="K13" s="19" t="str">
        <f>IF(COUNTIF(bystudent!B:B, G13) &gt; 0, "yes", "no")</f>
        <v>yes</v>
      </c>
    </row>
    <row r="14" ht="18.75" customHeight="1">
      <c r="A14" s="111" t="s">
        <v>1590</v>
      </c>
      <c r="B14" s="111" t="s">
        <v>1591</v>
      </c>
      <c r="C14" s="111" t="s">
        <v>1592</v>
      </c>
      <c r="D14" s="111" t="s">
        <v>1593</v>
      </c>
      <c r="E14" s="111" t="s">
        <v>1594</v>
      </c>
      <c r="F14" s="112">
        <v>300.0</v>
      </c>
      <c r="G14" s="111" t="s">
        <v>1636</v>
      </c>
      <c r="H14" s="111" t="s">
        <v>351</v>
      </c>
      <c r="I14" s="111" t="s">
        <v>1637</v>
      </c>
      <c r="J14" s="111" t="s">
        <v>350</v>
      </c>
      <c r="K14" s="19" t="str">
        <f>IF(COUNTIF(bystudent!B:B, G14) &gt; 0, "yes", "no")</f>
        <v>yes</v>
      </c>
    </row>
    <row r="15" ht="18.75" customHeight="1">
      <c r="A15" s="111" t="s">
        <v>1590</v>
      </c>
      <c r="B15" s="111" t="s">
        <v>1591</v>
      </c>
      <c r="C15" s="111" t="s">
        <v>1592</v>
      </c>
      <c r="D15" s="111" t="s">
        <v>1593</v>
      </c>
      <c r="E15" s="111" t="s">
        <v>1594</v>
      </c>
      <c r="F15" s="112">
        <v>300.0</v>
      </c>
      <c r="G15" s="111" t="s">
        <v>1639</v>
      </c>
      <c r="H15" s="111" t="s">
        <v>212</v>
      </c>
      <c r="I15" s="111" t="s">
        <v>1640</v>
      </c>
      <c r="J15" s="111" t="s">
        <v>1069</v>
      </c>
      <c r="K15" s="19" t="str">
        <f>IF(COUNTIF(bystudent!B:B, G15) &gt; 0, "yes", "no")</f>
        <v>yes</v>
      </c>
    </row>
    <row r="16" ht="18.75" customHeight="1">
      <c r="A16" s="111" t="s">
        <v>1590</v>
      </c>
      <c r="B16" s="111" t="s">
        <v>1591</v>
      </c>
      <c r="C16" s="111" t="s">
        <v>1592</v>
      </c>
      <c r="D16" s="111" t="s">
        <v>1593</v>
      </c>
      <c r="E16" s="111" t="s">
        <v>1594</v>
      </c>
      <c r="F16" s="112">
        <v>300.0</v>
      </c>
      <c r="G16" s="111" t="s">
        <v>1641</v>
      </c>
      <c r="H16" s="111" t="s">
        <v>96</v>
      </c>
      <c r="I16" s="111" t="s">
        <v>1642</v>
      </c>
      <c r="J16" s="111" t="s">
        <v>885</v>
      </c>
      <c r="K16" s="19" t="str">
        <f>IF(COUNTIF(bystudent!B:B, G16) &gt; 0, "yes", "no")</f>
        <v>yes</v>
      </c>
    </row>
    <row r="17" ht="18.75" customHeight="1">
      <c r="A17" s="111" t="s">
        <v>1590</v>
      </c>
      <c r="B17" s="111" t="s">
        <v>1591</v>
      </c>
      <c r="C17" s="111" t="s">
        <v>1592</v>
      </c>
      <c r="D17" s="111" t="s">
        <v>1593</v>
      </c>
      <c r="E17" s="111" t="s">
        <v>1594</v>
      </c>
      <c r="F17" s="112">
        <v>300.0</v>
      </c>
      <c r="G17" s="111" t="s">
        <v>1644</v>
      </c>
      <c r="H17" s="111" t="s">
        <v>605</v>
      </c>
      <c r="I17" s="111" t="s">
        <v>1645</v>
      </c>
      <c r="J17" s="111" t="s">
        <v>608</v>
      </c>
      <c r="K17" s="19" t="str">
        <f>IF(COUNTIF(bystudent!B:B, G17) &gt; 0, "yes", "no")</f>
        <v>yes</v>
      </c>
    </row>
    <row r="18" ht="18.75" customHeight="1">
      <c r="A18" s="111" t="s">
        <v>1590</v>
      </c>
      <c r="B18" s="111" t="s">
        <v>1591</v>
      </c>
      <c r="C18" s="111" t="s">
        <v>1592</v>
      </c>
      <c r="D18" s="111" t="s">
        <v>1593</v>
      </c>
      <c r="E18" s="111" t="s">
        <v>1594</v>
      </c>
      <c r="F18" s="112">
        <v>300.0</v>
      </c>
      <c r="G18" s="111" t="s">
        <v>1647</v>
      </c>
      <c r="H18" s="111" t="s">
        <v>1231</v>
      </c>
      <c r="I18" s="111" t="s">
        <v>1648</v>
      </c>
      <c r="J18" s="111" t="s">
        <v>1233</v>
      </c>
      <c r="K18" s="19" t="str">
        <f>IF(COUNTIF(bystudent!B:B, G18) &gt; 0, "yes", "no")</f>
        <v>yes</v>
      </c>
    </row>
    <row r="19" ht="18.75" customHeight="1">
      <c r="A19" s="111" t="s">
        <v>1590</v>
      </c>
      <c r="B19" s="111" t="s">
        <v>1591</v>
      </c>
      <c r="C19" s="111" t="s">
        <v>1592</v>
      </c>
      <c r="D19" s="111" t="s">
        <v>1593</v>
      </c>
      <c r="E19" s="111" t="s">
        <v>1594</v>
      </c>
      <c r="F19" s="112">
        <v>300.0</v>
      </c>
      <c r="G19" s="111" t="s">
        <v>1650</v>
      </c>
      <c r="H19" s="111" t="s">
        <v>402</v>
      </c>
      <c r="I19" s="111" t="s">
        <v>1651</v>
      </c>
      <c r="J19" s="111" t="s">
        <v>1652</v>
      </c>
      <c r="K19" s="19" t="str">
        <f>IF(COUNTIF(bystudent!B:B, G19) &gt; 0, "yes", "no")</f>
        <v>yes</v>
      </c>
    </row>
    <row r="20" ht="18.75" customHeight="1">
      <c r="A20" s="111" t="s">
        <v>1590</v>
      </c>
      <c r="B20" s="111" t="s">
        <v>1591</v>
      </c>
      <c r="C20" s="111" t="s">
        <v>1592</v>
      </c>
      <c r="D20" s="111" t="s">
        <v>1593</v>
      </c>
      <c r="E20" s="111" t="s">
        <v>1594</v>
      </c>
      <c r="F20" s="112">
        <v>300.0</v>
      </c>
      <c r="G20" s="111" t="s">
        <v>1654</v>
      </c>
      <c r="H20" s="111" t="s">
        <v>491</v>
      </c>
      <c r="I20" s="111" t="s">
        <v>1655</v>
      </c>
      <c r="J20" s="111" t="s">
        <v>490</v>
      </c>
      <c r="K20" s="19" t="str">
        <f>IF(COUNTIF(bystudent!B:B, G20) &gt; 0, "yes", "no")</f>
        <v>yes</v>
      </c>
    </row>
    <row r="21" ht="18.75" customHeight="1">
      <c r="A21" s="111" t="s">
        <v>1590</v>
      </c>
      <c r="B21" s="111" t="s">
        <v>1591</v>
      </c>
      <c r="C21" s="111" t="s">
        <v>1592</v>
      </c>
      <c r="D21" s="111" t="s">
        <v>1593</v>
      </c>
      <c r="E21" s="111" t="s">
        <v>1594</v>
      </c>
      <c r="F21" s="112">
        <v>300.0</v>
      </c>
      <c r="G21" s="111" t="s">
        <v>1656</v>
      </c>
      <c r="H21" s="111" t="s">
        <v>425</v>
      </c>
      <c r="I21" s="111" t="s">
        <v>1657</v>
      </c>
      <c r="J21" s="111" t="s">
        <v>424</v>
      </c>
      <c r="K21" s="19" t="str">
        <f>IF(COUNTIF(bystudent!B:B, G21) &gt; 0, "yes", "no")</f>
        <v>yes</v>
      </c>
    </row>
    <row r="22" ht="18.75" customHeight="1">
      <c r="A22" s="111" t="s">
        <v>1590</v>
      </c>
      <c r="B22" s="111" t="s">
        <v>1591</v>
      </c>
      <c r="C22" s="111" t="s">
        <v>1592</v>
      </c>
      <c r="D22" s="111" t="s">
        <v>1593</v>
      </c>
      <c r="E22" s="111" t="s">
        <v>1594</v>
      </c>
      <c r="F22" s="112">
        <v>300.0</v>
      </c>
      <c r="G22" s="111" t="s">
        <v>1659</v>
      </c>
      <c r="H22" s="111" t="s">
        <v>101</v>
      </c>
      <c r="I22" s="111" t="s">
        <v>1660</v>
      </c>
      <c r="J22" s="111" t="s">
        <v>1250</v>
      </c>
      <c r="K22" s="19" t="str">
        <f>IF(COUNTIF(bystudent!B:B, G22) &gt; 0, "yes", "no")</f>
        <v>yes</v>
      </c>
    </row>
    <row r="23" ht="18.75" customHeight="1">
      <c r="A23" s="111" t="s">
        <v>1590</v>
      </c>
      <c r="B23" s="111" t="s">
        <v>1591</v>
      </c>
      <c r="C23" s="111" t="s">
        <v>1592</v>
      </c>
      <c r="D23" s="111" t="s">
        <v>1593</v>
      </c>
      <c r="E23" s="111" t="s">
        <v>1594</v>
      </c>
      <c r="F23" s="112">
        <v>300.0</v>
      </c>
      <c r="G23" s="111" t="s">
        <v>1662</v>
      </c>
      <c r="H23" s="111" t="s">
        <v>652</v>
      </c>
      <c r="I23" s="111" t="s">
        <v>1663</v>
      </c>
      <c r="J23" s="111" t="s">
        <v>656</v>
      </c>
      <c r="K23" s="19" t="str">
        <f>IF(COUNTIF(bystudent!B:B, G23) &gt; 0, "yes", "no")</f>
        <v>yes</v>
      </c>
    </row>
    <row r="24" ht="18.75" customHeight="1">
      <c r="A24" s="111" t="s">
        <v>1590</v>
      </c>
      <c r="B24" s="111" t="s">
        <v>1591</v>
      </c>
      <c r="C24" s="111" t="s">
        <v>1592</v>
      </c>
      <c r="D24" s="111" t="s">
        <v>1593</v>
      </c>
      <c r="E24" s="111" t="s">
        <v>1594</v>
      </c>
      <c r="F24" s="112">
        <v>300.0</v>
      </c>
      <c r="G24" s="111" t="s">
        <v>1664</v>
      </c>
      <c r="H24" s="111" t="s">
        <v>65</v>
      </c>
      <c r="I24" s="111" t="s">
        <v>1665</v>
      </c>
      <c r="J24" s="111" t="s">
        <v>62</v>
      </c>
      <c r="K24" s="19" t="str">
        <f>IF(COUNTIF(bystudent!B:B, G24) &gt; 0, "yes", "no")</f>
        <v>yes</v>
      </c>
    </row>
    <row r="25" ht="18.75" customHeight="1">
      <c r="A25" s="111" t="s">
        <v>1590</v>
      </c>
      <c r="B25" s="111" t="s">
        <v>1591</v>
      </c>
      <c r="C25" s="111" t="s">
        <v>1592</v>
      </c>
      <c r="D25" s="111" t="s">
        <v>1593</v>
      </c>
      <c r="E25" s="111" t="s">
        <v>1594</v>
      </c>
      <c r="F25" s="112">
        <v>300.0</v>
      </c>
      <c r="G25" s="111" t="s">
        <v>1667</v>
      </c>
      <c r="H25" s="111" t="s">
        <v>285</v>
      </c>
      <c r="I25" s="111" t="s">
        <v>1668</v>
      </c>
      <c r="J25" s="111" t="s">
        <v>716</v>
      </c>
      <c r="K25" s="19" t="str">
        <f>IF(COUNTIF(bystudent!B:B, G25) &gt; 0, "yes", "no")</f>
        <v>yes</v>
      </c>
    </row>
    <row r="26" ht="18.75" customHeight="1">
      <c r="A26" s="111" t="s">
        <v>1590</v>
      </c>
      <c r="B26" s="111" t="s">
        <v>1591</v>
      </c>
      <c r="C26" s="111" t="s">
        <v>1592</v>
      </c>
      <c r="D26" s="111" t="s">
        <v>1593</v>
      </c>
      <c r="E26" s="111" t="s">
        <v>1594</v>
      </c>
      <c r="F26" s="112">
        <v>300.0</v>
      </c>
      <c r="G26" s="111" t="s">
        <v>1669</v>
      </c>
      <c r="H26" s="111" t="s">
        <v>1402</v>
      </c>
      <c r="I26" s="111" t="s">
        <v>1670</v>
      </c>
      <c r="J26" s="111" t="s">
        <v>1408</v>
      </c>
      <c r="K26" s="19" t="str">
        <f>IF(COUNTIF(bystudent!B:B, G26) &gt; 0, "yes", "no")</f>
        <v>yes</v>
      </c>
    </row>
    <row r="27" ht="18.75" customHeight="1">
      <c r="A27" s="111" t="s">
        <v>1590</v>
      </c>
      <c r="B27" s="111" t="s">
        <v>1591</v>
      </c>
      <c r="C27" s="111" t="s">
        <v>1592</v>
      </c>
      <c r="D27" s="111" t="s">
        <v>1593</v>
      </c>
      <c r="E27" s="111" t="s">
        <v>1594</v>
      </c>
      <c r="F27" s="112">
        <v>300.0</v>
      </c>
      <c r="G27" s="111" t="s">
        <v>1672</v>
      </c>
      <c r="H27" s="111" t="s">
        <v>149</v>
      </c>
      <c r="I27" s="111" t="s">
        <v>1673</v>
      </c>
      <c r="J27" s="111" t="s">
        <v>756</v>
      </c>
      <c r="K27" s="19" t="str">
        <f>IF(COUNTIF(bystudent!B:B, G27) &gt; 0, "yes", "no")</f>
        <v>yes</v>
      </c>
    </row>
    <row r="28" ht="18.75" customHeight="1">
      <c r="A28" s="111" t="s">
        <v>1590</v>
      </c>
      <c r="B28" s="111" t="s">
        <v>1591</v>
      </c>
      <c r="C28" s="111" t="s">
        <v>1592</v>
      </c>
      <c r="D28" s="111" t="s">
        <v>1593</v>
      </c>
      <c r="E28" s="111" t="s">
        <v>1594</v>
      </c>
      <c r="F28" s="112">
        <v>300.0</v>
      </c>
      <c r="G28" s="111" t="s">
        <v>1674</v>
      </c>
      <c r="H28" s="111" t="s">
        <v>934</v>
      </c>
      <c r="I28" s="111" t="s">
        <v>1676</v>
      </c>
      <c r="J28" s="111" t="s">
        <v>933</v>
      </c>
      <c r="K28" s="19" t="str">
        <f>IF(COUNTIF(bystudent!B:B, G28) &gt; 0, "yes", "no")</f>
        <v>yes</v>
      </c>
    </row>
    <row r="29" ht="18.75" customHeight="1">
      <c r="A29" s="111" t="s">
        <v>1590</v>
      </c>
      <c r="B29" s="111" t="s">
        <v>1591</v>
      </c>
      <c r="C29" s="111" t="s">
        <v>1592</v>
      </c>
      <c r="D29" s="111" t="s">
        <v>1593</v>
      </c>
      <c r="E29" s="111" t="s">
        <v>1594</v>
      </c>
      <c r="F29" s="112">
        <v>300.0</v>
      </c>
      <c r="G29" s="111" t="s">
        <v>1677</v>
      </c>
      <c r="H29" s="111" t="s">
        <v>1678</v>
      </c>
      <c r="I29" s="111" t="s">
        <v>1679</v>
      </c>
      <c r="J29" s="111" t="s">
        <v>1543</v>
      </c>
      <c r="K29" s="19" t="str">
        <f>IF(COUNTIF(bystudent!B:B, G29) &gt; 0, "yes", "no")</f>
        <v>yes</v>
      </c>
    </row>
    <row r="30" ht="18.75" customHeight="1">
      <c r="A30" s="111" t="s">
        <v>1590</v>
      </c>
      <c r="B30" s="111" t="s">
        <v>1591</v>
      </c>
      <c r="C30" s="111" t="s">
        <v>1592</v>
      </c>
      <c r="D30" s="111" t="s">
        <v>1593</v>
      </c>
      <c r="E30" s="111" t="s">
        <v>1594</v>
      </c>
      <c r="F30" s="112">
        <v>300.0</v>
      </c>
      <c r="G30" s="111" t="s">
        <v>1680</v>
      </c>
      <c r="H30" s="111" t="s">
        <v>309</v>
      </c>
      <c r="I30" s="111" t="s">
        <v>1681</v>
      </c>
      <c r="J30" s="111" t="s">
        <v>1217</v>
      </c>
      <c r="K30" s="19" t="str">
        <f>IF(COUNTIF(bystudent!B:B, G30) &gt; 0, "yes", "no")</f>
        <v>yes</v>
      </c>
    </row>
    <row r="31" ht="18.75" customHeight="1">
      <c r="A31" s="111" t="s">
        <v>1590</v>
      </c>
      <c r="B31" s="111" t="s">
        <v>1591</v>
      </c>
      <c r="C31" s="111" t="s">
        <v>1592</v>
      </c>
      <c r="D31" s="111" t="s">
        <v>1593</v>
      </c>
      <c r="E31" s="111" t="s">
        <v>1594</v>
      </c>
      <c r="F31" s="112">
        <v>300.0</v>
      </c>
      <c r="G31" s="111" t="s">
        <v>1683</v>
      </c>
      <c r="H31" s="111" t="s">
        <v>615</v>
      </c>
      <c r="I31" s="111" t="s">
        <v>1684</v>
      </c>
      <c r="J31" s="111" t="s">
        <v>617</v>
      </c>
      <c r="K31" s="19" t="str">
        <f>IF(COUNTIF(bystudent!B:B, G31) &gt; 0, "yes", "no")</f>
        <v>yes</v>
      </c>
    </row>
    <row r="32" ht="18.75" customHeight="1">
      <c r="A32" s="111" t="s">
        <v>1590</v>
      </c>
      <c r="B32" s="111" t="s">
        <v>1591</v>
      </c>
      <c r="C32" s="111" t="s">
        <v>1592</v>
      </c>
      <c r="D32" s="111" t="s">
        <v>1593</v>
      </c>
      <c r="E32" s="111" t="s">
        <v>1594</v>
      </c>
      <c r="F32" s="112">
        <v>300.0</v>
      </c>
      <c r="G32" s="111" t="s">
        <v>1685</v>
      </c>
      <c r="H32" s="111" t="s">
        <v>157</v>
      </c>
      <c r="I32" s="111" t="s">
        <v>1686</v>
      </c>
      <c r="J32" s="111" t="s">
        <v>750</v>
      </c>
      <c r="K32" s="19" t="str">
        <f>IF(COUNTIF(bystudent!B:B, G32) &gt; 0, "yes", "no")</f>
        <v>yes</v>
      </c>
    </row>
    <row r="33" ht="18.75" customHeight="1">
      <c r="A33" s="111" t="s">
        <v>1590</v>
      </c>
      <c r="B33" s="111" t="s">
        <v>1591</v>
      </c>
      <c r="C33" s="111" t="s">
        <v>1592</v>
      </c>
      <c r="D33" s="111" t="s">
        <v>1593</v>
      </c>
      <c r="E33" s="111" t="s">
        <v>1594</v>
      </c>
      <c r="F33" s="112">
        <v>300.0</v>
      </c>
      <c r="G33" s="111" t="s">
        <v>1688</v>
      </c>
      <c r="H33" s="111" t="s">
        <v>639</v>
      </c>
      <c r="I33" s="111" t="s">
        <v>1689</v>
      </c>
      <c r="J33" s="111" t="s">
        <v>641</v>
      </c>
      <c r="K33" s="19" t="str">
        <f>IF(COUNTIF(bystudent!B:B, G33) &gt; 0, "yes", "no")</f>
        <v>yes</v>
      </c>
    </row>
    <row r="34" ht="18.75" customHeight="1">
      <c r="A34" s="111" t="s">
        <v>1590</v>
      </c>
      <c r="B34" s="111" t="s">
        <v>1591</v>
      </c>
      <c r="C34" s="111" t="s">
        <v>1592</v>
      </c>
      <c r="D34" s="111" t="s">
        <v>1593</v>
      </c>
      <c r="E34" s="111" t="s">
        <v>1594</v>
      </c>
      <c r="F34" s="112">
        <v>300.0</v>
      </c>
      <c r="G34" s="111" t="s">
        <v>1690</v>
      </c>
      <c r="H34" s="111" t="s">
        <v>664</v>
      </c>
      <c r="I34" s="111" t="s">
        <v>1691</v>
      </c>
      <c r="J34" s="111" t="s">
        <v>666</v>
      </c>
      <c r="K34" s="19" t="str">
        <f>IF(COUNTIF(bystudent!B:B, G34) &gt; 0, "yes", "no")</f>
        <v>yes</v>
      </c>
    </row>
    <row r="35" ht="18.75" customHeight="1">
      <c r="A35" s="111" t="s">
        <v>1590</v>
      </c>
      <c r="B35" s="111" t="s">
        <v>1591</v>
      </c>
      <c r="C35" s="111" t="s">
        <v>1592</v>
      </c>
      <c r="D35" s="111" t="s">
        <v>1593</v>
      </c>
      <c r="E35" s="111" t="s">
        <v>1594</v>
      </c>
      <c r="F35" s="112">
        <v>300.0</v>
      </c>
      <c r="G35" s="111" t="s">
        <v>1692</v>
      </c>
      <c r="H35" s="111" t="s">
        <v>1143</v>
      </c>
      <c r="I35" s="111" t="s">
        <v>1693</v>
      </c>
      <c r="J35" s="111" t="s">
        <v>1142</v>
      </c>
      <c r="K35" s="19" t="str">
        <f>IF(COUNTIF(bystudent!B:B, G35) &gt; 0, "yes", "no")</f>
        <v>yes</v>
      </c>
    </row>
    <row r="36" ht="18.75" customHeight="1">
      <c r="A36" s="111" t="s">
        <v>1590</v>
      </c>
      <c r="B36" s="111" t="s">
        <v>1591</v>
      </c>
      <c r="C36" s="111" t="s">
        <v>1592</v>
      </c>
      <c r="D36" s="111" t="s">
        <v>1593</v>
      </c>
      <c r="E36" s="111" t="s">
        <v>1594</v>
      </c>
      <c r="F36" s="112">
        <v>300.0</v>
      </c>
      <c r="G36" s="111" t="s">
        <v>1695</v>
      </c>
      <c r="H36" s="111" t="s">
        <v>358</v>
      </c>
      <c r="I36" s="111" t="s">
        <v>1696</v>
      </c>
      <c r="J36" s="111" t="s">
        <v>683</v>
      </c>
      <c r="K36" s="19" t="str">
        <f>IF(COUNTIF(bystudent!B:B, G36) &gt; 0, "yes", "no")</f>
        <v>yes</v>
      </c>
    </row>
    <row r="37" ht="18.75" customHeight="1">
      <c r="A37" s="111" t="s">
        <v>1590</v>
      </c>
      <c r="B37" s="111" t="s">
        <v>1591</v>
      </c>
      <c r="C37" s="111" t="s">
        <v>1592</v>
      </c>
      <c r="D37" s="111" t="s">
        <v>1593</v>
      </c>
      <c r="E37" s="111" t="s">
        <v>1594</v>
      </c>
      <c r="F37" s="112">
        <v>300.0</v>
      </c>
      <c r="G37" s="111" t="s">
        <v>1697</v>
      </c>
      <c r="H37" s="111" t="s">
        <v>125</v>
      </c>
      <c r="I37" s="111" t="s">
        <v>1698</v>
      </c>
      <c r="J37" s="111" t="s">
        <v>717</v>
      </c>
      <c r="K37" s="19" t="str">
        <f>IF(COUNTIF(bystudent!B:B, G37) &gt; 0, "yes", "no")</f>
        <v>yes</v>
      </c>
    </row>
    <row r="38" ht="18.75" customHeight="1">
      <c r="A38" s="111" t="s">
        <v>1590</v>
      </c>
      <c r="B38" s="111" t="s">
        <v>1591</v>
      </c>
      <c r="C38" s="111" t="s">
        <v>1592</v>
      </c>
      <c r="D38" s="111" t="s">
        <v>1593</v>
      </c>
      <c r="E38" s="111" t="s">
        <v>1594</v>
      </c>
      <c r="F38" s="112">
        <v>300.0</v>
      </c>
      <c r="G38" s="111" t="s">
        <v>1700</v>
      </c>
      <c r="H38" s="111" t="s">
        <v>1177</v>
      </c>
      <c r="I38" s="111" t="s">
        <v>1701</v>
      </c>
      <c r="J38" s="111" t="s">
        <v>1179</v>
      </c>
      <c r="K38" s="19" t="str">
        <f>IF(COUNTIF(bystudent!B:B, G38) &gt; 0, "yes", "no")</f>
        <v>yes</v>
      </c>
    </row>
    <row r="39" ht="18.75" customHeight="1">
      <c r="A39" s="111" t="s">
        <v>1590</v>
      </c>
      <c r="B39" s="111" t="s">
        <v>1591</v>
      </c>
      <c r="C39" s="111" t="s">
        <v>1592</v>
      </c>
      <c r="D39" s="111" t="s">
        <v>1593</v>
      </c>
      <c r="E39" s="111" t="s">
        <v>1594</v>
      </c>
      <c r="F39" s="112">
        <v>300.0</v>
      </c>
      <c r="G39" s="111" t="s">
        <v>1702</v>
      </c>
      <c r="H39" s="111" t="s">
        <v>372</v>
      </c>
      <c r="I39" s="111" t="s">
        <v>1703</v>
      </c>
      <c r="J39" s="111" t="s">
        <v>1013</v>
      </c>
      <c r="K39" s="19" t="str">
        <f>IF(COUNTIF(bystudent!B:B, G39) &gt; 0, "yes", "no")</f>
        <v>yes</v>
      </c>
    </row>
    <row r="40" ht="18.75" customHeight="1">
      <c r="A40" s="111" t="s">
        <v>1590</v>
      </c>
      <c r="B40" s="111" t="s">
        <v>1591</v>
      </c>
      <c r="C40" s="111" t="s">
        <v>1592</v>
      </c>
      <c r="D40" s="111" t="s">
        <v>1593</v>
      </c>
      <c r="E40" s="111" t="s">
        <v>1594</v>
      </c>
      <c r="F40" s="112">
        <v>300.0</v>
      </c>
      <c r="G40" s="111" t="s">
        <v>1705</v>
      </c>
      <c r="H40" s="111" t="s">
        <v>1164</v>
      </c>
      <c r="I40" s="111" t="s">
        <v>1706</v>
      </c>
      <c r="J40" s="111" t="s">
        <v>1170</v>
      </c>
      <c r="K40" s="19" t="str">
        <f>IF(COUNTIF(bystudent!B:B, G40) &gt; 0, "yes", "no")</f>
        <v>yes</v>
      </c>
    </row>
    <row r="41" ht="18.75" customHeight="1">
      <c r="A41" s="111" t="s">
        <v>1590</v>
      </c>
      <c r="B41" s="111" t="s">
        <v>1591</v>
      </c>
      <c r="C41" s="111" t="s">
        <v>1592</v>
      </c>
      <c r="D41" s="111" t="s">
        <v>1593</v>
      </c>
      <c r="E41" s="111" t="s">
        <v>1594</v>
      </c>
      <c r="F41" s="112">
        <v>300.0</v>
      </c>
      <c r="G41" s="111" t="s">
        <v>1707</v>
      </c>
      <c r="H41" s="111" t="s">
        <v>342</v>
      </c>
      <c r="I41" s="111" t="s">
        <v>1708</v>
      </c>
      <c r="J41" s="111" t="s">
        <v>1310</v>
      </c>
      <c r="K41" s="19" t="str">
        <f>IF(COUNTIF(bystudent!B:B, G41) &gt; 0, "yes", "no")</f>
        <v>yes</v>
      </c>
    </row>
    <row r="42" ht="18.75" customHeight="1">
      <c r="A42" s="111" t="s">
        <v>1590</v>
      </c>
      <c r="B42" s="111" t="s">
        <v>1591</v>
      </c>
      <c r="C42" s="111" t="s">
        <v>1592</v>
      </c>
      <c r="D42" s="111" t="s">
        <v>1593</v>
      </c>
      <c r="E42" s="111" t="s">
        <v>1594</v>
      </c>
      <c r="F42" s="112">
        <v>300.0</v>
      </c>
      <c r="G42" s="111" t="s">
        <v>1709</v>
      </c>
      <c r="H42" s="111" t="s">
        <v>390</v>
      </c>
      <c r="I42" s="111" t="s">
        <v>1710</v>
      </c>
      <c r="J42" s="111" t="s">
        <v>1518</v>
      </c>
      <c r="K42" s="19" t="str">
        <f>IF(COUNTIF(bystudent!B:B, G42) &gt; 0, "yes", "no")</f>
        <v>yes</v>
      </c>
    </row>
    <row r="43" ht="18.75" customHeight="1">
      <c r="A43" s="111" t="s">
        <v>1590</v>
      </c>
      <c r="B43" s="111" t="s">
        <v>1591</v>
      </c>
      <c r="C43" s="111" t="s">
        <v>1592</v>
      </c>
      <c r="D43" s="111" t="s">
        <v>1593</v>
      </c>
      <c r="E43" s="111" t="s">
        <v>1594</v>
      </c>
      <c r="F43" s="112">
        <v>300.0</v>
      </c>
      <c r="G43" s="111" t="s">
        <v>1712</v>
      </c>
      <c r="H43" s="111" t="s">
        <v>649</v>
      </c>
      <c r="I43" s="111" t="s">
        <v>1713</v>
      </c>
      <c r="J43" s="111" t="s">
        <v>651</v>
      </c>
      <c r="K43" s="19" t="str">
        <f>IF(COUNTIF(bystudent!B:B, G43) &gt; 0, "yes", "no")</f>
        <v>yes</v>
      </c>
    </row>
    <row r="44" ht="18.75" customHeight="1">
      <c r="A44" s="111" t="s">
        <v>1590</v>
      </c>
      <c r="B44" s="111" t="s">
        <v>1591</v>
      </c>
      <c r="C44" s="111" t="s">
        <v>1592</v>
      </c>
      <c r="D44" s="111" t="s">
        <v>1593</v>
      </c>
      <c r="E44" s="111" t="s">
        <v>1594</v>
      </c>
      <c r="F44" s="112">
        <v>300.0</v>
      </c>
      <c r="G44" s="111" t="s">
        <v>1714</v>
      </c>
      <c r="H44" s="111" t="s">
        <v>1511</v>
      </c>
      <c r="I44" s="111" t="s">
        <v>1715</v>
      </c>
      <c r="J44" s="111" t="s">
        <v>1513</v>
      </c>
      <c r="K44" s="19" t="str">
        <f>IF(COUNTIF(bystudent!B:B, G44) &gt; 0, "yes", "no")</f>
        <v>yes</v>
      </c>
    </row>
    <row r="45" ht="18.75" customHeight="1">
      <c r="A45" s="111" t="s">
        <v>1590</v>
      </c>
      <c r="B45" s="111" t="s">
        <v>1591</v>
      </c>
      <c r="C45" s="111" t="s">
        <v>1592</v>
      </c>
      <c r="D45" s="111" t="s">
        <v>1593</v>
      </c>
      <c r="E45" s="111" t="s">
        <v>1594</v>
      </c>
      <c r="F45" s="112">
        <v>300.0</v>
      </c>
      <c r="G45" s="111" t="s">
        <v>1716</v>
      </c>
      <c r="H45" s="111" t="s">
        <v>1316</v>
      </c>
      <c r="I45" s="111" t="s">
        <v>1717</v>
      </c>
      <c r="J45" s="111" t="s">
        <v>1315</v>
      </c>
      <c r="K45" s="19" t="str">
        <f>IF(COUNTIF(bystudent!B:B, G45) &gt; 0, "yes", "no")</f>
        <v>yes</v>
      </c>
    </row>
    <row r="46" ht="18.75" customHeight="1">
      <c r="A46" s="111" t="s">
        <v>1590</v>
      </c>
      <c r="B46" s="111" t="s">
        <v>1591</v>
      </c>
      <c r="C46" s="111" t="s">
        <v>1592</v>
      </c>
      <c r="D46" s="111" t="s">
        <v>1593</v>
      </c>
      <c r="E46" s="111" t="s">
        <v>1594</v>
      </c>
      <c r="F46" s="112">
        <v>300.0</v>
      </c>
      <c r="G46" s="111" t="s">
        <v>1719</v>
      </c>
      <c r="H46" s="111" t="s">
        <v>158</v>
      </c>
      <c r="I46" s="111" t="s">
        <v>1720</v>
      </c>
      <c r="J46" s="111" t="s">
        <v>1388</v>
      </c>
      <c r="K46" s="19" t="str">
        <f>IF(COUNTIF(bystudent!B:B, G46) &gt; 0, "yes", "no")</f>
        <v>yes</v>
      </c>
    </row>
    <row r="47" ht="18.75" customHeight="1">
      <c r="A47" s="111" t="s">
        <v>1590</v>
      </c>
      <c r="B47" s="111" t="s">
        <v>1591</v>
      </c>
      <c r="C47" s="111" t="s">
        <v>1592</v>
      </c>
      <c r="D47" s="111" t="s">
        <v>1593</v>
      </c>
      <c r="E47" s="111" t="s">
        <v>1594</v>
      </c>
      <c r="F47" s="112">
        <v>300.0</v>
      </c>
      <c r="G47" s="111" t="s">
        <v>1721</v>
      </c>
      <c r="H47" s="111" t="s">
        <v>778</v>
      </c>
      <c r="I47" s="111" t="s">
        <v>1722</v>
      </c>
      <c r="J47" s="111" t="s">
        <v>786</v>
      </c>
      <c r="K47" s="19" t="str">
        <f>IF(COUNTIF(bystudent!B:B, G47) &gt; 0, "yes", "no")</f>
        <v>yes</v>
      </c>
    </row>
    <row r="48" ht="18.75" customHeight="1">
      <c r="A48" s="111" t="s">
        <v>1590</v>
      </c>
      <c r="B48" s="111" t="s">
        <v>1591</v>
      </c>
      <c r="C48" s="111" t="s">
        <v>1592</v>
      </c>
      <c r="D48" s="111" t="s">
        <v>1593</v>
      </c>
      <c r="E48" s="111" t="s">
        <v>1594</v>
      </c>
      <c r="F48" s="112">
        <v>300.0</v>
      </c>
      <c r="G48" s="111" t="s">
        <v>1723</v>
      </c>
      <c r="H48" s="111" t="s">
        <v>262</v>
      </c>
      <c r="I48" s="111" t="s">
        <v>1725</v>
      </c>
      <c r="J48" s="111" t="s">
        <v>696</v>
      </c>
      <c r="K48" s="19" t="str">
        <f>IF(COUNTIF(bystudent!B:B, G48) &gt; 0, "yes", "no")</f>
        <v>yes</v>
      </c>
    </row>
    <row r="49" ht="18.75" customHeight="1">
      <c r="A49" s="111" t="s">
        <v>1590</v>
      </c>
      <c r="B49" s="111" t="s">
        <v>1591</v>
      </c>
      <c r="C49" s="111" t="s">
        <v>1592</v>
      </c>
      <c r="D49" s="111" t="s">
        <v>1593</v>
      </c>
      <c r="E49" s="111" t="s">
        <v>1594</v>
      </c>
      <c r="F49" s="112">
        <v>300.0</v>
      </c>
      <c r="G49" s="111" t="s">
        <v>1726</v>
      </c>
      <c r="H49" s="111" t="s">
        <v>254</v>
      </c>
      <c r="I49" s="111" t="s">
        <v>1727</v>
      </c>
      <c r="J49" s="111" t="s">
        <v>760</v>
      </c>
      <c r="K49" s="19" t="str">
        <f>IF(COUNTIF(bystudent!B:B, G49) &gt; 0, "yes", "no")</f>
        <v>yes</v>
      </c>
    </row>
    <row r="50" ht="18.75" customHeight="1">
      <c r="A50" s="111" t="s">
        <v>1590</v>
      </c>
      <c r="B50" s="111" t="s">
        <v>1591</v>
      </c>
      <c r="C50" s="111" t="s">
        <v>1592</v>
      </c>
      <c r="D50" s="111" t="s">
        <v>1593</v>
      </c>
      <c r="E50" s="111" t="s">
        <v>1594</v>
      </c>
      <c r="F50" s="112">
        <v>300.0</v>
      </c>
      <c r="G50" s="111" t="s">
        <v>1729</v>
      </c>
      <c r="H50" s="111" t="s">
        <v>263</v>
      </c>
      <c r="I50" s="111" t="s">
        <v>1730</v>
      </c>
      <c r="J50" s="111" t="s">
        <v>1265</v>
      </c>
      <c r="K50" s="19" t="str">
        <f>IF(COUNTIF(bystudent!B:B, G50) &gt; 0, "yes", "no")</f>
        <v>yes</v>
      </c>
    </row>
    <row r="51" ht="18.75" customHeight="1">
      <c r="A51" s="111" t="s">
        <v>1590</v>
      </c>
      <c r="B51" s="111" t="s">
        <v>1591</v>
      </c>
      <c r="C51" s="111" t="s">
        <v>1592</v>
      </c>
      <c r="D51" s="111" t="s">
        <v>1593</v>
      </c>
      <c r="E51" s="111" t="s">
        <v>1594</v>
      </c>
      <c r="F51" s="112">
        <v>300.0</v>
      </c>
      <c r="G51" s="111" t="s">
        <v>1731</v>
      </c>
      <c r="H51" s="111" t="s">
        <v>103</v>
      </c>
      <c r="I51" s="111" t="s">
        <v>1732</v>
      </c>
      <c r="J51" s="111" t="s">
        <v>1314</v>
      </c>
      <c r="K51" s="19" t="str">
        <f>IF(COUNTIF(bystudent!B:B, G51) &gt; 0, "yes", "no")</f>
        <v>yes</v>
      </c>
    </row>
    <row r="52" ht="18.75" customHeight="1">
      <c r="A52" s="111" t="s">
        <v>1590</v>
      </c>
      <c r="B52" s="111" t="s">
        <v>1591</v>
      </c>
      <c r="C52" s="111" t="s">
        <v>1592</v>
      </c>
      <c r="D52" s="111" t="s">
        <v>1593</v>
      </c>
      <c r="E52" s="111" t="s">
        <v>1594</v>
      </c>
      <c r="F52" s="112">
        <v>300.0</v>
      </c>
      <c r="G52" s="111" t="s">
        <v>1733</v>
      </c>
      <c r="H52" s="111" t="s">
        <v>1519</v>
      </c>
      <c r="I52" s="111" t="s">
        <v>1735</v>
      </c>
      <c r="J52" s="111" t="s">
        <v>1523</v>
      </c>
      <c r="K52" s="19" t="str">
        <f>IF(COUNTIF(bystudent!B:B, G52) &gt; 0, "yes", "no")</f>
        <v>yes</v>
      </c>
    </row>
    <row r="53" ht="18.75" customHeight="1">
      <c r="A53" s="111" t="s">
        <v>1590</v>
      </c>
      <c r="B53" s="111" t="s">
        <v>1591</v>
      </c>
      <c r="C53" s="111" t="s">
        <v>1592</v>
      </c>
      <c r="D53" s="111" t="s">
        <v>1593</v>
      </c>
      <c r="E53" s="111" t="s">
        <v>1594</v>
      </c>
      <c r="F53" s="112">
        <v>300.0</v>
      </c>
      <c r="G53" s="111" t="s">
        <v>1736</v>
      </c>
      <c r="H53" s="111" t="s">
        <v>568</v>
      </c>
      <c r="I53" s="111" t="s">
        <v>1737</v>
      </c>
      <c r="J53" s="111" t="s">
        <v>570</v>
      </c>
      <c r="K53" s="19" t="str">
        <f>IF(COUNTIF(bystudent!B:B, G53) &gt; 0, "yes", "no")</f>
        <v>yes</v>
      </c>
    </row>
    <row r="54" ht="18.75" customHeight="1">
      <c r="A54" s="111" t="s">
        <v>1590</v>
      </c>
      <c r="B54" s="111" t="s">
        <v>1591</v>
      </c>
      <c r="C54" s="111" t="s">
        <v>1592</v>
      </c>
      <c r="D54" s="111" t="s">
        <v>1593</v>
      </c>
      <c r="E54" s="111" t="s">
        <v>1594</v>
      </c>
      <c r="F54" s="112">
        <v>300.0</v>
      </c>
      <c r="G54" s="111" t="s">
        <v>1738</v>
      </c>
      <c r="H54" s="111" t="s">
        <v>1739</v>
      </c>
      <c r="I54" s="111" t="s">
        <v>1740</v>
      </c>
      <c r="J54" s="111" t="s">
        <v>675</v>
      </c>
      <c r="K54" s="19" t="str">
        <f>IF(COUNTIF(bystudent!B:B, G54) &gt; 0, "yes", "no")</f>
        <v>yes</v>
      </c>
    </row>
    <row r="55" ht="18.75" customHeight="1">
      <c r="A55" s="111" t="s">
        <v>1590</v>
      </c>
      <c r="B55" s="111" t="s">
        <v>1591</v>
      </c>
      <c r="C55" s="111" t="s">
        <v>1592</v>
      </c>
      <c r="D55" s="111" t="s">
        <v>1593</v>
      </c>
      <c r="E55" s="111" t="s">
        <v>1594</v>
      </c>
      <c r="F55" s="112">
        <v>300.0</v>
      </c>
      <c r="G55" s="111" t="s">
        <v>1742</v>
      </c>
      <c r="H55" s="111" t="s">
        <v>920</v>
      </c>
      <c r="I55" s="111" t="s">
        <v>1743</v>
      </c>
      <c r="J55" s="111" t="s">
        <v>928</v>
      </c>
      <c r="K55" s="19" t="str">
        <f>IF(COUNTIF(bystudent!B:B, G55) &gt; 0, "yes", "no")</f>
        <v>yes</v>
      </c>
    </row>
    <row r="56" ht="18.75" customHeight="1">
      <c r="A56" s="111" t="s">
        <v>1590</v>
      </c>
      <c r="B56" s="111" t="s">
        <v>1591</v>
      </c>
      <c r="C56" s="111" t="s">
        <v>1592</v>
      </c>
      <c r="D56" s="111" t="s">
        <v>1593</v>
      </c>
      <c r="E56" s="111" t="s">
        <v>1594</v>
      </c>
      <c r="F56" s="112">
        <v>300.0</v>
      </c>
      <c r="G56" s="111" t="s">
        <v>1745</v>
      </c>
      <c r="H56" s="111" t="s">
        <v>1302</v>
      </c>
      <c r="I56" s="111" t="s">
        <v>1746</v>
      </c>
      <c r="J56" s="111" t="s">
        <v>1304</v>
      </c>
      <c r="K56" s="19" t="str">
        <f>IF(COUNTIF(bystudent!B:B, G56) &gt; 0, "yes", "no")</f>
        <v>yes</v>
      </c>
    </row>
    <row r="57" ht="18.75" customHeight="1">
      <c r="A57" s="111" t="s">
        <v>1590</v>
      </c>
      <c r="B57" s="111" t="s">
        <v>1591</v>
      </c>
      <c r="C57" s="111" t="s">
        <v>1592</v>
      </c>
      <c r="D57" s="111" t="s">
        <v>1593</v>
      </c>
      <c r="E57" s="111" t="s">
        <v>1594</v>
      </c>
      <c r="F57" s="112">
        <v>300.0</v>
      </c>
      <c r="G57" s="111" t="s">
        <v>1747</v>
      </c>
      <c r="H57" s="111" t="s">
        <v>581</v>
      </c>
      <c r="I57" s="111" t="s">
        <v>1748</v>
      </c>
      <c r="J57" s="111" t="s">
        <v>583</v>
      </c>
      <c r="K57" s="19" t="str">
        <f>IF(COUNTIF(bystudent!B:B, G57) &gt; 0, "yes", "no")</f>
        <v>yes</v>
      </c>
    </row>
    <row r="58" ht="18.75" customHeight="1">
      <c r="A58" s="111" t="s">
        <v>1590</v>
      </c>
      <c r="B58" s="111" t="s">
        <v>1591</v>
      </c>
      <c r="C58" s="111" t="s">
        <v>1592</v>
      </c>
      <c r="D58" s="111" t="s">
        <v>1593</v>
      </c>
      <c r="E58" s="111" t="s">
        <v>1594</v>
      </c>
      <c r="F58" s="112">
        <v>300.0</v>
      </c>
      <c r="G58" s="111" t="s">
        <v>1749</v>
      </c>
      <c r="H58" s="111" t="s">
        <v>116</v>
      </c>
      <c r="I58" s="111" t="s">
        <v>1750</v>
      </c>
      <c r="J58" s="111" t="s">
        <v>684</v>
      </c>
      <c r="K58" s="19" t="str">
        <f>IF(COUNTIF(bystudent!B:B, G58) &gt; 0, "yes", "no")</f>
        <v>yes</v>
      </c>
    </row>
    <row r="59" ht="18.75" customHeight="1">
      <c r="A59" s="111" t="s">
        <v>1590</v>
      </c>
      <c r="B59" s="111" t="s">
        <v>1591</v>
      </c>
      <c r="C59" s="111" t="s">
        <v>1592</v>
      </c>
      <c r="D59" s="111" t="s">
        <v>1593</v>
      </c>
      <c r="E59" s="111" t="s">
        <v>1594</v>
      </c>
      <c r="F59" s="112">
        <v>300.0</v>
      </c>
      <c r="G59" s="111" t="s">
        <v>1752</v>
      </c>
      <c r="H59" s="111" t="s">
        <v>252</v>
      </c>
      <c r="I59" s="111" t="s">
        <v>1753</v>
      </c>
      <c r="J59" s="111" t="s">
        <v>701</v>
      </c>
      <c r="K59" s="19" t="str">
        <f>IF(COUNTIF(bystudent!B:B, G59) &gt; 0, "yes", "no")</f>
        <v>yes</v>
      </c>
    </row>
    <row r="60" ht="18.75" customHeight="1">
      <c r="A60" s="111" t="s">
        <v>1590</v>
      </c>
      <c r="B60" s="111" t="s">
        <v>1591</v>
      </c>
      <c r="C60" s="111" t="s">
        <v>1592</v>
      </c>
      <c r="D60" s="111" t="s">
        <v>1593</v>
      </c>
      <c r="E60" s="111" t="s">
        <v>1594</v>
      </c>
      <c r="F60" s="112">
        <v>300.0</v>
      </c>
      <c r="G60" s="111" t="s">
        <v>1754</v>
      </c>
      <c r="H60" s="111" t="s">
        <v>343</v>
      </c>
      <c r="I60" s="111" t="s">
        <v>1755</v>
      </c>
      <c r="J60" s="111" t="s">
        <v>475</v>
      </c>
      <c r="K60" s="19" t="str">
        <f>IF(COUNTIF(bystudent!B:B, G60) &gt; 0, "yes", "no")</f>
        <v>yes</v>
      </c>
    </row>
    <row r="61" ht="18.75" customHeight="1">
      <c r="A61" s="111" t="s">
        <v>1590</v>
      </c>
      <c r="B61" s="111" t="s">
        <v>1591</v>
      </c>
      <c r="C61" s="111" t="s">
        <v>1592</v>
      </c>
      <c r="D61" s="111" t="s">
        <v>1593</v>
      </c>
      <c r="E61" s="111" t="s">
        <v>1594</v>
      </c>
      <c r="F61" s="112">
        <v>300.0</v>
      </c>
      <c r="G61" s="111" t="s">
        <v>1758</v>
      </c>
      <c r="H61" s="111" t="s">
        <v>1296</v>
      </c>
      <c r="I61" s="111" t="s">
        <v>1759</v>
      </c>
      <c r="J61" s="111" t="s">
        <v>1295</v>
      </c>
      <c r="K61" s="19" t="str">
        <f>IF(COUNTIF(bystudent!B:B, G61) &gt; 0, "yes", "no")</f>
        <v>yes</v>
      </c>
    </row>
    <row r="62" ht="18.75" customHeight="1">
      <c r="A62" s="111" t="s">
        <v>1590</v>
      </c>
      <c r="B62" s="111" t="s">
        <v>1591</v>
      </c>
      <c r="C62" s="111" t="s">
        <v>1592</v>
      </c>
      <c r="D62" s="111" t="s">
        <v>1593</v>
      </c>
      <c r="E62" s="111" t="s">
        <v>1594</v>
      </c>
      <c r="F62" s="112">
        <v>300.0</v>
      </c>
      <c r="G62" s="111" t="s">
        <v>1760</v>
      </c>
      <c r="H62" s="111" t="s">
        <v>503</v>
      </c>
      <c r="I62" s="111" t="s">
        <v>1761</v>
      </c>
      <c r="J62" s="111" t="s">
        <v>502</v>
      </c>
      <c r="K62" s="19" t="str">
        <f>IF(COUNTIF(bystudent!B:B, G62) &gt; 0, "yes", "no")</f>
        <v>yes</v>
      </c>
    </row>
    <row r="63" ht="18.75" customHeight="1">
      <c r="A63" s="111" t="s">
        <v>1590</v>
      </c>
      <c r="B63" s="111" t="s">
        <v>1591</v>
      </c>
      <c r="C63" s="111" t="s">
        <v>1592</v>
      </c>
      <c r="D63" s="111" t="s">
        <v>1593</v>
      </c>
      <c r="E63" s="111" t="s">
        <v>1594</v>
      </c>
      <c r="F63" s="112">
        <v>300.0</v>
      </c>
      <c r="G63" s="111" t="s">
        <v>1763</v>
      </c>
      <c r="H63" s="111" t="s">
        <v>1764</v>
      </c>
      <c r="I63" s="111" t="s">
        <v>1765</v>
      </c>
      <c r="J63" s="111" t="s">
        <v>1540</v>
      </c>
      <c r="K63" s="19" t="str">
        <f>IF(COUNTIF(bystudent!B:B, G63) &gt; 0, "yes", "no")</f>
        <v>yes</v>
      </c>
    </row>
    <row r="64" ht="18.75" customHeight="1">
      <c r="A64" s="111" t="s">
        <v>1590</v>
      </c>
      <c r="B64" s="111" t="s">
        <v>1591</v>
      </c>
      <c r="C64" s="111" t="s">
        <v>1592</v>
      </c>
      <c r="D64" s="111" t="s">
        <v>1593</v>
      </c>
      <c r="E64" s="111" t="s">
        <v>1594</v>
      </c>
      <c r="F64" s="112">
        <v>300.0</v>
      </c>
      <c r="G64" s="111" t="s">
        <v>1766</v>
      </c>
      <c r="H64" s="111" t="s">
        <v>375</v>
      </c>
      <c r="I64" s="111" t="s">
        <v>1767</v>
      </c>
      <c r="J64" s="111" t="s">
        <v>1040</v>
      </c>
      <c r="K64" s="19" t="str">
        <f>IF(COUNTIF(bystudent!B:B, G64) &gt; 0, "yes", "no")</f>
        <v>yes</v>
      </c>
    </row>
    <row r="65" ht="18.75" customHeight="1">
      <c r="A65" s="111" t="s">
        <v>1590</v>
      </c>
      <c r="B65" s="111" t="s">
        <v>1591</v>
      </c>
      <c r="C65" s="111" t="s">
        <v>1592</v>
      </c>
      <c r="D65" s="111" t="s">
        <v>1593</v>
      </c>
      <c r="E65" s="111" t="s">
        <v>1594</v>
      </c>
      <c r="F65" s="112">
        <v>300.0</v>
      </c>
      <c r="G65" s="111" t="s">
        <v>1768</v>
      </c>
      <c r="H65" s="111" t="s">
        <v>1418</v>
      </c>
      <c r="I65" s="111" t="s">
        <v>1769</v>
      </c>
      <c r="J65" s="111" t="s">
        <v>1417</v>
      </c>
      <c r="K65" s="19" t="str">
        <f>IF(COUNTIF(bystudent!B:B, G65) &gt; 0, "yes", "no")</f>
        <v>yes</v>
      </c>
    </row>
    <row r="66" ht="18.75" customHeight="1">
      <c r="A66" s="111" t="s">
        <v>1590</v>
      </c>
      <c r="B66" s="111" t="s">
        <v>1591</v>
      </c>
      <c r="C66" s="111" t="s">
        <v>1592</v>
      </c>
      <c r="D66" s="111" t="s">
        <v>1593</v>
      </c>
      <c r="E66" s="111" t="s">
        <v>1594</v>
      </c>
      <c r="F66" s="112">
        <v>300.0</v>
      </c>
      <c r="G66" s="111" t="s">
        <v>1771</v>
      </c>
      <c r="H66" s="111" t="s">
        <v>981</v>
      </c>
      <c r="I66" s="111" t="s">
        <v>1772</v>
      </c>
      <c r="J66" s="111" t="s">
        <v>986</v>
      </c>
      <c r="K66" s="19" t="str">
        <f>IF(COUNTIF(bystudent!B:B, G66) &gt; 0, "yes", "no")</f>
        <v>yes</v>
      </c>
    </row>
    <row r="67" ht="18.75" customHeight="1">
      <c r="A67" s="111" t="s">
        <v>1590</v>
      </c>
      <c r="B67" s="111" t="s">
        <v>1591</v>
      </c>
      <c r="C67" s="111" t="s">
        <v>1592</v>
      </c>
      <c r="D67" s="111" t="s">
        <v>1593</v>
      </c>
      <c r="E67" s="111" t="s">
        <v>1594</v>
      </c>
      <c r="F67" s="112">
        <v>300.0</v>
      </c>
      <c r="G67" s="111" t="s">
        <v>1773</v>
      </c>
      <c r="H67" s="111" t="s">
        <v>313</v>
      </c>
      <c r="I67" s="111" t="s">
        <v>1774</v>
      </c>
      <c r="J67" s="111" t="s">
        <v>1466</v>
      </c>
      <c r="K67" s="19" t="str">
        <f>IF(COUNTIF(bystudent!B:B, G67) &gt; 0, "yes", "no")</f>
        <v>yes</v>
      </c>
    </row>
    <row r="68" ht="18.75" customHeight="1">
      <c r="A68" s="111" t="s">
        <v>1590</v>
      </c>
      <c r="B68" s="111" t="s">
        <v>1591</v>
      </c>
      <c r="C68" s="111" t="s">
        <v>1592</v>
      </c>
      <c r="D68" s="111" t="s">
        <v>1593</v>
      </c>
      <c r="E68" s="111" t="s">
        <v>1594</v>
      </c>
      <c r="F68" s="112">
        <v>300.0</v>
      </c>
      <c r="G68" s="111" t="s">
        <v>1776</v>
      </c>
      <c r="H68" s="111" t="s">
        <v>1448</v>
      </c>
      <c r="I68" s="111" t="s">
        <v>1777</v>
      </c>
      <c r="J68" s="111" t="s">
        <v>1450</v>
      </c>
      <c r="K68" s="19" t="str">
        <f>IF(COUNTIF(bystudent!B:B, G68) &gt; 0, "yes", "no")</f>
        <v>yes</v>
      </c>
    </row>
    <row r="69" ht="18.75" customHeight="1">
      <c r="A69" s="111" t="s">
        <v>1590</v>
      </c>
      <c r="B69" s="111" t="s">
        <v>1591</v>
      </c>
      <c r="C69" s="111" t="s">
        <v>1592</v>
      </c>
      <c r="D69" s="111" t="s">
        <v>1593</v>
      </c>
      <c r="E69" s="111" t="s">
        <v>1594</v>
      </c>
      <c r="F69" s="112">
        <v>300.0</v>
      </c>
      <c r="G69" s="111" t="s">
        <v>1778</v>
      </c>
      <c r="H69" s="111" t="s">
        <v>176</v>
      </c>
      <c r="I69" s="111" t="s">
        <v>1779</v>
      </c>
      <c r="J69" s="111" t="s">
        <v>871</v>
      </c>
      <c r="K69" s="19" t="str">
        <f>IF(COUNTIF(bystudent!B:B, G69) &gt; 0, "yes", "no")</f>
        <v>yes</v>
      </c>
    </row>
    <row r="70" ht="18.75" customHeight="1">
      <c r="A70" s="111" t="s">
        <v>1590</v>
      </c>
      <c r="B70" s="111" t="s">
        <v>1591</v>
      </c>
      <c r="C70" s="111" t="s">
        <v>1592</v>
      </c>
      <c r="D70" s="111" t="s">
        <v>1593</v>
      </c>
      <c r="E70" s="111" t="s">
        <v>1594</v>
      </c>
      <c r="F70" s="112">
        <v>300.0</v>
      </c>
      <c r="G70" s="111" t="s">
        <v>1781</v>
      </c>
      <c r="H70" s="111" t="s">
        <v>1154</v>
      </c>
      <c r="I70" s="111" t="s">
        <v>1782</v>
      </c>
      <c r="J70" s="111" t="s">
        <v>1153</v>
      </c>
      <c r="K70" s="19" t="str">
        <f>IF(COUNTIF(bystudent!B:B, G70) &gt; 0, "yes", "no")</f>
        <v>yes</v>
      </c>
    </row>
    <row r="71" ht="18.75" customHeight="1">
      <c r="A71" s="111" t="s">
        <v>1590</v>
      </c>
      <c r="B71" s="111" t="s">
        <v>1591</v>
      </c>
      <c r="C71" s="111" t="s">
        <v>1592</v>
      </c>
      <c r="D71" s="111" t="s">
        <v>1593</v>
      </c>
      <c r="E71" s="111" t="s">
        <v>1594</v>
      </c>
      <c r="F71" s="112">
        <v>300.0</v>
      </c>
      <c r="G71" s="111" t="s">
        <v>1784</v>
      </c>
      <c r="H71" s="111" t="s">
        <v>1399</v>
      </c>
      <c r="I71" s="111" t="s">
        <v>1785</v>
      </c>
      <c r="J71" s="111" t="s">
        <v>1398</v>
      </c>
      <c r="K71" s="19" t="str">
        <f>IF(COUNTIF(bystudent!B:B, G71) &gt; 0, "yes", "no")</f>
        <v>yes</v>
      </c>
    </row>
    <row r="72" ht="18.75" customHeight="1">
      <c r="A72" s="111" t="s">
        <v>1590</v>
      </c>
      <c r="B72" s="111" t="s">
        <v>1591</v>
      </c>
      <c r="C72" s="111" t="s">
        <v>1592</v>
      </c>
      <c r="D72" s="111" t="s">
        <v>1593</v>
      </c>
      <c r="E72" s="111" t="s">
        <v>1594</v>
      </c>
      <c r="F72" s="112">
        <v>300.0</v>
      </c>
      <c r="G72" s="111" t="s">
        <v>1786</v>
      </c>
      <c r="H72" s="111" t="s">
        <v>620</v>
      </c>
      <c r="I72" s="111" t="s">
        <v>1787</v>
      </c>
      <c r="J72" s="111" t="s">
        <v>1788</v>
      </c>
      <c r="K72" s="19" t="str">
        <f>IF(COUNTIF(bystudent!B:B, G72) &gt; 0, "yes", "no")</f>
        <v>yes</v>
      </c>
    </row>
    <row r="73" ht="18.75" customHeight="1">
      <c r="A73" s="111" t="s">
        <v>1590</v>
      </c>
      <c r="B73" s="111" t="s">
        <v>1591</v>
      </c>
      <c r="C73" s="111" t="s">
        <v>1592</v>
      </c>
      <c r="D73" s="111" t="s">
        <v>1593</v>
      </c>
      <c r="E73" s="111" t="s">
        <v>1594</v>
      </c>
      <c r="F73" s="112">
        <v>300.0</v>
      </c>
      <c r="G73" s="111" t="s">
        <v>1789</v>
      </c>
      <c r="H73" s="111" t="s">
        <v>329</v>
      </c>
      <c r="I73" s="111" t="s">
        <v>1791</v>
      </c>
      <c r="J73" s="111" t="s">
        <v>1487</v>
      </c>
      <c r="K73" s="19" t="str">
        <f>IF(COUNTIF(bystudent!B:B, G73) &gt; 0, "yes", "no")</f>
        <v>yes</v>
      </c>
    </row>
    <row r="74" ht="18.75" customHeight="1">
      <c r="A74" s="111" t="s">
        <v>1590</v>
      </c>
      <c r="B74" s="111" t="s">
        <v>1591</v>
      </c>
      <c r="C74" s="111" t="s">
        <v>1592</v>
      </c>
      <c r="D74" s="111" t="s">
        <v>1593</v>
      </c>
      <c r="E74" s="111" t="s">
        <v>1594</v>
      </c>
      <c r="F74" s="112">
        <v>300.0</v>
      </c>
      <c r="G74" s="111" t="s">
        <v>1792</v>
      </c>
      <c r="H74" s="111" t="s">
        <v>1131</v>
      </c>
      <c r="I74" s="111" t="s">
        <v>1793</v>
      </c>
      <c r="J74" s="111" t="s">
        <v>1130</v>
      </c>
      <c r="K74" s="19" t="str">
        <f>IF(COUNTIF(bystudent!B:B, G74) &gt; 0, "yes", "no")</f>
        <v>yes</v>
      </c>
    </row>
    <row r="75" ht="18.75" customHeight="1">
      <c r="A75" s="111" t="s">
        <v>1590</v>
      </c>
      <c r="B75" s="111" t="s">
        <v>1591</v>
      </c>
      <c r="C75" s="111" t="s">
        <v>1592</v>
      </c>
      <c r="D75" s="111" t="s">
        <v>1593</v>
      </c>
      <c r="E75" s="111" t="s">
        <v>1594</v>
      </c>
      <c r="F75" s="112">
        <v>300.0</v>
      </c>
      <c r="G75" s="111" t="s">
        <v>1794</v>
      </c>
      <c r="H75" s="111" t="s">
        <v>199</v>
      </c>
      <c r="I75" s="111" t="s">
        <v>1795</v>
      </c>
      <c r="J75" s="111" t="s">
        <v>576</v>
      </c>
      <c r="K75" s="19" t="str">
        <f>IF(COUNTIF(bystudent!B:B, G75) &gt; 0, "yes", "no")</f>
        <v>yes</v>
      </c>
    </row>
    <row r="76" ht="18.75" customHeight="1">
      <c r="A76" s="111" t="s">
        <v>1590</v>
      </c>
      <c r="B76" s="111" t="s">
        <v>1591</v>
      </c>
      <c r="C76" s="111" t="s">
        <v>1592</v>
      </c>
      <c r="D76" s="111" t="s">
        <v>1593</v>
      </c>
      <c r="E76" s="111" t="s">
        <v>1594</v>
      </c>
      <c r="F76" s="112">
        <v>300.0</v>
      </c>
      <c r="G76" s="111" t="s">
        <v>1797</v>
      </c>
      <c r="H76" s="111" t="s">
        <v>117</v>
      </c>
      <c r="I76" s="111" t="s">
        <v>1798</v>
      </c>
      <c r="J76" s="111" t="s">
        <v>539</v>
      </c>
      <c r="K76" s="19" t="str">
        <f>IF(COUNTIF(bystudent!B:B, G76) &gt; 0, "yes", "no")</f>
        <v>yes</v>
      </c>
    </row>
    <row r="77" ht="18.75" customHeight="1">
      <c r="A77" s="111" t="s">
        <v>1590</v>
      </c>
      <c r="B77" s="111" t="s">
        <v>1591</v>
      </c>
      <c r="C77" s="111" t="s">
        <v>1592</v>
      </c>
      <c r="D77" s="111" t="s">
        <v>1593</v>
      </c>
      <c r="E77" s="111" t="s">
        <v>1594</v>
      </c>
      <c r="F77" s="112">
        <v>300.0</v>
      </c>
      <c r="G77" s="111" t="s">
        <v>1799</v>
      </c>
      <c r="H77" s="111" t="s">
        <v>180</v>
      </c>
      <c r="I77" s="111" t="s">
        <v>1800</v>
      </c>
      <c r="J77" s="111" t="s">
        <v>178</v>
      </c>
      <c r="K77" s="19" t="str">
        <f>IF(COUNTIF(bystudent!B:B, G77) &gt; 0, "yes", "no")</f>
        <v>yes</v>
      </c>
    </row>
    <row r="78" ht="18.75" customHeight="1">
      <c r="A78" s="111" t="s">
        <v>1590</v>
      </c>
      <c r="B78" s="111" t="s">
        <v>1591</v>
      </c>
      <c r="C78" s="111" t="s">
        <v>1592</v>
      </c>
      <c r="D78" s="111" t="s">
        <v>1593</v>
      </c>
      <c r="E78" s="111" t="s">
        <v>1594</v>
      </c>
      <c r="F78" s="112">
        <v>300.0</v>
      </c>
      <c r="G78" s="111" t="s">
        <v>1801</v>
      </c>
      <c r="H78" s="111" t="s">
        <v>270</v>
      </c>
      <c r="I78" s="111" t="s">
        <v>1802</v>
      </c>
      <c r="J78" s="111" t="s">
        <v>1345</v>
      </c>
      <c r="K78" s="19" t="str">
        <f>IF(COUNTIF(bystudent!B:B, G78) &gt; 0, "yes", "no")</f>
        <v>yes</v>
      </c>
    </row>
    <row r="79" ht="18.75" customHeight="1">
      <c r="A79" s="111" t="s">
        <v>1590</v>
      </c>
      <c r="B79" s="111" t="s">
        <v>1591</v>
      </c>
      <c r="C79" s="111" t="s">
        <v>1592</v>
      </c>
      <c r="D79" s="111" t="s">
        <v>1593</v>
      </c>
      <c r="E79" s="111" t="s">
        <v>1594</v>
      </c>
      <c r="F79" s="112">
        <v>300.0</v>
      </c>
      <c r="G79" s="111" t="s">
        <v>1804</v>
      </c>
      <c r="H79" s="111" t="s">
        <v>162</v>
      </c>
      <c r="I79" s="111" t="s">
        <v>1805</v>
      </c>
      <c r="J79" s="111" t="s">
        <v>941</v>
      </c>
      <c r="K79" s="19" t="str">
        <f>IF(COUNTIF(bystudent!B:B, G79) &gt; 0, "yes", "no")</f>
        <v>yes</v>
      </c>
    </row>
    <row r="80" ht="18.75" customHeight="1">
      <c r="A80" s="111" t="s">
        <v>1590</v>
      </c>
      <c r="B80" s="111" t="s">
        <v>1591</v>
      </c>
      <c r="C80" s="111" t="s">
        <v>1592</v>
      </c>
      <c r="D80" s="111" t="s">
        <v>1593</v>
      </c>
      <c r="E80" s="111" t="s">
        <v>1594</v>
      </c>
      <c r="F80" s="112">
        <v>300.0</v>
      </c>
      <c r="G80" s="111" t="s">
        <v>1807</v>
      </c>
      <c r="H80" s="111" t="s">
        <v>156</v>
      </c>
      <c r="I80" s="111" t="s">
        <v>1808</v>
      </c>
      <c r="J80" s="111" t="s">
        <v>1005</v>
      </c>
      <c r="K80" s="19" t="str">
        <f>IF(COUNTIF(bystudent!B:B, G80) &gt; 0, "yes", "no")</f>
        <v>yes</v>
      </c>
    </row>
    <row r="81" ht="18.75" customHeight="1">
      <c r="A81" s="111" t="s">
        <v>1590</v>
      </c>
      <c r="B81" s="111" t="s">
        <v>1591</v>
      </c>
      <c r="C81" s="111" t="s">
        <v>1592</v>
      </c>
      <c r="D81" s="111" t="s">
        <v>1593</v>
      </c>
      <c r="E81" s="111" t="s">
        <v>1594</v>
      </c>
      <c r="F81" s="112">
        <v>300.0</v>
      </c>
      <c r="G81" s="111" t="s">
        <v>1809</v>
      </c>
      <c r="H81" s="111" t="s">
        <v>404</v>
      </c>
      <c r="I81" s="111" t="s">
        <v>1810</v>
      </c>
      <c r="J81" s="111" t="s">
        <v>1555</v>
      </c>
      <c r="K81" s="19" t="str">
        <f>IF(COUNTIF(bystudent!B:B, G81) &gt; 0, "yes", "no")</f>
        <v>yes</v>
      </c>
    </row>
    <row r="82" ht="18.75" customHeight="1">
      <c r="A82" s="111" t="s">
        <v>1590</v>
      </c>
      <c r="B82" s="111" t="s">
        <v>1591</v>
      </c>
      <c r="C82" s="111" t="s">
        <v>1592</v>
      </c>
      <c r="D82" s="111" t="s">
        <v>1593</v>
      </c>
      <c r="E82" s="111" t="s">
        <v>1594</v>
      </c>
      <c r="F82" s="112">
        <v>300.0</v>
      </c>
      <c r="G82" s="111" t="s">
        <v>1812</v>
      </c>
      <c r="H82" s="111" t="s">
        <v>26</v>
      </c>
      <c r="I82" s="111" t="s">
        <v>1813</v>
      </c>
      <c r="J82" s="111" t="s">
        <v>25</v>
      </c>
      <c r="K82" s="19" t="str">
        <f>IF(COUNTIF(bystudent!B:B, G82) &gt; 0, "yes", "no")</f>
        <v>yes</v>
      </c>
    </row>
    <row r="83" ht="18.75" customHeight="1">
      <c r="A83" s="111" t="s">
        <v>1590</v>
      </c>
      <c r="B83" s="111" t="s">
        <v>1591</v>
      </c>
      <c r="C83" s="111" t="s">
        <v>1592</v>
      </c>
      <c r="D83" s="111" t="s">
        <v>1593</v>
      </c>
      <c r="E83" s="111" t="s">
        <v>1594</v>
      </c>
      <c r="F83" s="112">
        <v>300.0</v>
      </c>
      <c r="G83" s="111" t="s">
        <v>1814</v>
      </c>
      <c r="H83" s="111" t="s">
        <v>489</v>
      </c>
      <c r="I83" s="111" t="s">
        <v>1815</v>
      </c>
      <c r="J83" s="111" t="s">
        <v>495</v>
      </c>
      <c r="K83" s="19" t="str">
        <f>IF(COUNTIF(bystudent!B:B, G83) &gt; 0, "yes", "no")</f>
        <v>yes</v>
      </c>
    </row>
    <row r="84" ht="18.75" customHeight="1">
      <c r="A84" s="111" t="s">
        <v>1590</v>
      </c>
      <c r="B84" s="111" t="s">
        <v>1591</v>
      </c>
      <c r="C84" s="111" t="s">
        <v>1592</v>
      </c>
      <c r="D84" s="111" t="s">
        <v>1593</v>
      </c>
      <c r="E84" s="111" t="s">
        <v>1594</v>
      </c>
      <c r="F84" s="112">
        <v>300.0</v>
      </c>
      <c r="G84" s="111" t="s">
        <v>1817</v>
      </c>
      <c r="H84" s="111" t="s">
        <v>190</v>
      </c>
      <c r="I84" s="111" t="s">
        <v>1818</v>
      </c>
      <c r="J84" s="111" t="s">
        <v>1360</v>
      </c>
      <c r="K84" s="19" t="str">
        <f>IF(COUNTIF(bystudent!B:B, G84) &gt; 0, "yes", "no")</f>
        <v>yes</v>
      </c>
    </row>
    <row r="85" ht="18.75" customHeight="1">
      <c r="A85" s="111" t="s">
        <v>1590</v>
      </c>
      <c r="B85" s="111" t="s">
        <v>1591</v>
      </c>
      <c r="C85" s="111" t="s">
        <v>1592</v>
      </c>
      <c r="D85" s="111" t="s">
        <v>1593</v>
      </c>
      <c r="E85" s="111" t="s">
        <v>1594</v>
      </c>
      <c r="F85" s="112">
        <v>300.0</v>
      </c>
      <c r="G85" s="111" t="s">
        <v>1819</v>
      </c>
      <c r="H85" s="111" t="s">
        <v>1357</v>
      </c>
      <c r="I85" s="111" t="s">
        <v>1820</v>
      </c>
      <c r="J85" s="111" t="s">
        <v>1359</v>
      </c>
      <c r="K85" s="19" t="str">
        <f>IF(COUNTIF(bystudent!B:B, G85) &gt; 0, "yes", "no")</f>
        <v>yes</v>
      </c>
    </row>
    <row r="86" ht="18.75" customHeight="1">
      <c r="A86" s="111" t="s">
        <v>1590</v>
      </c>
      <c r="B86" s="111" t="s">
        <v>1591</v>
      </c>
      <c r="C86" s="111" t="s">
        <v>1592</v>
      </c>
      <c r="D86" s="111" t="s">
        <v>1593</v>
      </c>
      <c r="E86" s="111" t="s">
        <v>1594</v>
      </c>
      <c r="F86" s="112">
        <v>300.0</v>
      </c>
      <c r="G86" s="111" t="s">
        <v>1822</v>
      </c>
      <c r="H86" s="111" t="s">
        <v>378</v>
      </c>
      <c r="I86" s="111" t="s">
        <v>1823</v>
      </c>
      <c r="J86" s="111" t="s">
        <v>1194</v>
      </c>
      <c r="K86" s="19" t="str">
        <f>IF(COUNTIF(bystudent!B:B, G86) &gt; 0, "yes", "no")</f>
        <v>yes</v>
      </c>
    </row>
    <row r="87" ht="18.75" customHeight="1">
      <c r="A87" s="111" t="s">
        <v>1590</v>
      </c>
      <c r="B87" s="111" t="s">
        <v>1591</v>
      </c>
      <c r="C87" s="111" t="s">
        <v>1592</v>
      </c>
      <c r="D87" s="111" t="s">
        <v>1593</v>
      </c>
      <c r="E87" s="111" t="s">
        <v>1594</v>
      </c>
      <c r="F87" s="112">
        <v>300.0</v>
      </c>
      <c r="G87" s="111" t="s">
        <v>1824</v>
      </c>
      <c r="H87" s="111" t="s">
        <v>1502</v>
      </c>
      <c r="I87" s="111" t="s">
        <v>1826</v>
      </c>
      <c r="J87" s="111" t="s">
        <v>1504</v>
      </c>
      <c r="K87" s="19" t="str">
        <f>IF(COUNTIF(bystudent!B:B, G87) &gt; 0, "yes", "no")</f>
        <v>yes</v>
      </c>
    </row>
    <row r="88" ht="18.75" customHeight="1">
      <c r="A88" s="111" t="s">
        <v>1590</v>
      </c>
      <c r="B88" s="111" t="s">
        <v>1591</v>
      </c>
      <c r="C88" s="111" t="s">
        <v>1592</v>
      </c>
      <c r="D88" s="111" t="s">
        <v>1593</v>
      </c>
      <c r="E88" s="111" t="s">
        <v>1594</v>
      </c>
      <c r="F88" s="112">
        <v>300.0</v>
      </c>
      <c r="G88" s="111" t="s">
        <v>1827</v>
      </c>
      <c r="H88" s="111" t="s">
        <v>1025</v>
      </c>
      <c r="I88" s="111" t="s">
        <v>1828</v>
      </c>
      <c r="J88" s="111" t="s">
        <v>1024</v>
      </c>
      <c r="K88" s="19" t="str">
        <f>IF(COUNTIF(bystudent!B:B, G88) &gt; 0, "yes", "no")</f>
        <v>yes</v>
      </c>
    </row>
    <row r="89" ht="18.75" customHeight="1">
      <c r="A89" s="111" t="s">
        <v>1590</v>
      </c>
      <c r="B89" s="111" t="s">
        <v>1591</v>
      </c>
      <c r="C89" s="111" t="s">
        <v>1592</v>
      </c>
      <c r="D89" s="111" t="s">
        <v>1593</v>
      </c>
      <c r="E89" s="111" t="s">
        <v>1594</v>
      </c>
      <c r="F89" s="112">
        <v>300.0</v>
      </c>
      <c r="G89" s="111" t="s">
        <v>1830</v>
      </c>
      <c r="H89" s="111" t="s">
        <v>250</v>
      </c>
      <c r="I89" s="111" t="s">
        <v>1831</v>
      </c>
      <c r="J89" s="111" t="s">
        <v>811</v>
      </c>
      <c r="K89" s="19" t="str">
        <f>IF(COUNTIF(bystudent!B:B, G89) &gt; 0, "yes", "no")</f>
        <v>yes</v>
      </c>
    </row>
    <row r="90" ht="18.75" customHeight="1">
      <c r="A90" s="111" t="s">
        <v>1590</v>
      </c>
      <c r="B90" s="111" t="s">
        <v>1591</v>
      </c>
      <c r="C90" s="111" t="s">
        <v>1592</v>
      </c>
      <c r="D90" s="111" t="s">
        <v>1593</v>
      </c>
      <c r="E90" s="111" t="s">
        <v>1594</v>
      </c>
      <c r="F90" s="112">
        <v>300.0</v>
      </c>
      <c r="G90" s="111" t="s">
        <v>1832</v>
      </c>
      <c r="H90" s="111" t="s">
        <v>283</v>
      </c>
      <c r="I90" s="111" t="s">
        <v>1833</v>
      </c>
      <c r="J90" s="111" t="s">
        <v>1129</v>
      </c>
      <c r="K90" s="19" t="str">
        <f>IF(COUNTIF(bystudent!B:B, G90) &gt; 0, "yes", "no")</f>
        <v>yes</v>
      </c>
    </row>
    <row r="91" ht="18.75" customHeight="1">
      <c r="A91" s="111" t="s">
        <v>1590</v>
      </c>
      <c r="B91" s="111" t="s">
        <v>1591</v>
      </c>
      <c r="C91" s="111" t="s">
        <v>1592</v>
      </c>
      <c r="D91" s="111" t="s">
        <v>1593</v>
      </c>
      <c r="E91" s="111" t="s">
        <v>1594</v>
      </c>
      <c r="F91" s="112">
        <v>300.0</v>
      </c>
      <c r="G91" s="111" t="s">
        <v>1835</v>
      </c>
      <c r="H91" s="111" t="s">
        <v>692</v>
      </c>
      <c r="I91" s="111" t="s">
        <v>1836</v>
      </c>
      <c r="J91" s="111" t="s">
        <v>694</v>
      </c>
      <c r="K91" s="19" t="str">
        <f>IF(COUNTIF(bystudent!B:B, G91) &gt; 0, "yes", "no")</f>
        <v>yes</v>
      </c>
    </row>
    <row r="92" ht="18.75" customHeight="1">
      <c r="A92" s="111" t="s">
        <v>1590</v>
      </c>
      <c r="B92" s="111" t="s">
        <v>1591</v>
      </c>
      <c r="C92" s="111" t="s">
        <v>1592</v>
      </c>
      <c r="D92" s="111" t="s">
        <v>1593</v>
      </c>
      <c r="E92" s="111" t="s">
        <v>1594</v>
      </c>
      <c r="F92" s="112">
        <v>300.0</v>
      </c>
      <c r="G92" s="111" t="s">
        <v>1838</v>
      </c>
      <c r="H92" s="111" t="s">
        <v>384</v>
      </c>
      <c r="I92" s="111" t="s">
        <v>1839</v>
      </c>
      <c r="J92" s="111" t="s">
        <v>1105</v>
      </c>
      <c r="K92" s="19" t="str">
        <f>IF(COUNTIF(bystudent!B:B, G92) &gt; 0, "yes", "no")</f>
        <v>yes</v>
      </c>
    </row>
    <row r="93" ht="18.75" customHeight="1">
      <c r="A93" s="111" t="s">
        <v>1590</v>
      </c>
      <c r="B93" s="111" t="s">
        <v>1591</v>
      </c>
      <c r="C93" s="111" t="s">
        <v>1592</v>
      </c>
      <c r="D93" s="111" t="s">
        <v>1593</v>
      </c>
      <c r="E93" s="111" t="s">
        <v>1594</v>
      </c>
      <c r="F93" s="112">
        <v>300.0</v>
      </c>
      <c r="G93" s="111" t="s">
        <v>1841</v>
      </c>
      <c r="H93" s="111" t="s">
        <v>1335</v>
      </c>
      <c r="I93" s="111" t="s">
        <v>1842</v>
      </c>
      <c r="J93" s="111" t="s">
        <v>1339</v>
      </c>
      <c r="K93" s="19" t="str">
        <f>IF(COUNTIF(bystudent!B:B, G93) &gt; 0, "yes", "no")</f>
        <v>yes</v>
      </c>
    </row>
    <row r="94" ht="18.75" customHeight="1">
      <c r="A94" s="111" t="s">
        <v>1590</v>
      </c>
      <c r="B94" s="111" t="s">
        <v>1591</v>
      </c>
      <c r="C94" s="111" t="s">
        <v>1592</v>
      </c>
      <c r="D94" s="111" t="s">
        <v>1593</v>
      </c>
      <c r="E94" s="111" t="s">
        <v>1594</v>
      </c>
      <c r="F94" s="112">
        <v>300.0</v>
      </c>
      <c r="G94" s="111" t="s">
        <v>1844</v>
      </c>
      <c r="H94" s="111" t="s">
        <v>1261</v>
      </c>
      <c r="I94" s="111" t="s">
        <v>1845</v>
      </c>
      <c r="J94" s="111" t="s">
        <v>1264</v>
      </c>
      <c r="K94" s="19" t="str">
        <f>IF(COUNTIF(bystudent!B:B, G94) &gt; 0, "yes", "no")</f>
        <v>yes</v>
      </c>
    </row>
    <row r="95" ht="18.75" customHeight="1">
      <c r="A95" s="111" t="s">
        <v>1590</v>
      </c>
      <c r="B95" s="111" t="s">
        <v>1591</v>
      </c>
      <c r="C95" s="111" t="s">
        <v>1592</v>
      </c>
      <c r="D95" s="111" t="s">
        <v>1593</v>
      </c>
      <c r="E95" s="111" t="s">
        <v>1594</v>
      </c>
      <c r="F95" s="112">
        <v>300.0</v>
      </c>
      <c r="G95" s="111" t="s">
        <v>1847</v>
      </c>
      <c r="H95" s="111" t="s">
        <v>1550</v>
      </c>
      <c r="I95" s="111" t="s">
        <v>1848</v>
      </c>
      <c r="J95" s="111" t="s">
        <v>1552</v>
      </c>
      <c r="K95" s="19" t="str">
        <f>IF(COUNTIF(bystudent!B:B, G95) &gt; 0, "yes", "no")</f>
        <v>yes</v>
      </c>
    </row>
    <row r="96" ht="18.75" customHeight="1">
      <c r="A96" s="111" t="s">
        <v>1590</v>
      </c>
      <c r="B96" s="111" t="s">
        <v>1591</v>
      </c>
      <c r="C96" s="111" t="s">
        <v>1592</v>
      </c>
      <c r="D96" s="111" t="s">
        <v>1593</v>
      </c>
      <c r="E96" s="111" t="s">
        <v>1594</v>
      </c>
      <c r="F96" s="112">
        <v>300.0</v>
      </c>
      <c r="G96" s="111" t="s">
        <v>1854</v>
      </c>
      <c r="H96" s="111" t="s">
        <v>1443</v>
      </c>
      <c r="I96" s="111" t="s">
        <v>1855</v>
      </c>
      <c r="J96" s="111" t="s">
        <v>1442</v>
      </c>
      <c r="K96" s="19" t="str">
        <f>IF(COUNTIF(bystudent!B:B, G96) &gt; 0, "yes", "no")</f>
        <v>yes</v>
      </c>
    </row>
    <row r="97" ht="18.75" customHeight="1">
      <c r="A97" s="111" t="s">
        <v>1590</v>
      </c>
      <c r="B97" s="111" t="s">
        <v>1591</v>
      </c>
      <c r="C97" s="111" t="s">
        <v>1592</v>
      </c>
      <c r="D97" s="111" t="s">
        <v>1593</v>
      </c>
      <c r="E97" s="111" t="s">
        <v>1594</v>
      </c>
      <c r="F97" s="112">
        <v>300.0</v>
      </c>
      <c r="G97" s="111" t="s">
        <v>1857</v>
      </c>
      <c r="H97" s="111" t="s">
        <v>509</v>
      </c>
      <c r="I97" s="111" t="s">
        <v>1858</v>
      </c>
      <c r="J97" s="111" t="s">
        <v>514</v>
      </c>
      <c r="K97" s="19" t="str">
        <f>IF(COUNTIF(bystudent!B:B, G97) &gt; 0, "yes", "no")</f>
        <v>yes</v>
      </c>
    </row>
    <row r="98" ht="18.75" customHeight="1">
      <c r="A98" s="111" t="s">
        <v>1590</v>
      </c>
      <c r="B98" s="111" t="s">
        <v>1591</v>
      </c>
      <c r="C98" s="111" t="s">
        <v>1592</v>
      </c>
      <c r="D98" s="111" t="s">
        <v>1593</v>
      </c>
      <c r="E98" s="111" t="s">
        <v>1594</v>
      </c>
      <c r="F98" s="112">
        <v>300.0</v>
      </c>
      <c r="G98" s="111" t="s">
        <v>1859</v>
      </c>
      <c r="H98" s="111" t="s">
        <v>188</v>
      </c>
      <c r="I98" s="111" t="s">
        <v>1860</v>
      </c>
      <c r="J98" s="111" t="s">
        <v>746</v>
      </c>
      <c r="K98" s="19" t="str">
        <f>IF(COUNTIF(bystudent!B:B, G98) &gt; 0, "yes", "no")</f>
        <v>yes</v>
      </c>
    </row>
    <row r="99" ht="18.75" customHeight="1">
      <c r="A99" s="111" t="s">
        <v>1590</v>
      </c>
      <c r="B99" s="111" t="s">
        <v>1591</v>
      </c>
      <c r="C99" s="111" t="s">
        <v>1592</v>
      </c>
      <c r="D99" s="111" t="s">
        <v>1593</v>
      </c>
      <c r="E99" s="111" t="s">
        <v>1594</v>
      </c>
      <c r="F99" s="112">
        <v>300.0</v>
      </c>
      <c r="G99" s="111" t="s">
        <v>1862</v>
      </c>
      <c r="H99" s="111" t="s">
        <v>1084</v>
      </c>
      <c r="I99" s="111" t="s">
        <v>1863</v>
      </c>
      <c r="J99" s="111" t="s">
        <v>1089</v>
      </c>
      <c r="K99" s="19" t="str">
        <f>IF(COUNTIF(bystudent!B:B, G99) &gt; 0, "yes", "no")</f>
        <v>yes</v>
      </c>
    </row>
    <row r="100" ht="18.75" customHeight="1">
      <c r="A100" s="111" t="s">
        <v>1590</v>
      </c>
      <c r="B100" s="111" t="s">
        <v>1591</v>
      </c>
      <c r="C100" s="111" t="s">
        <v>1592</v>
      </c>
      <c r="D100" s="111" t="s">
        <v>1593</v>
      </c>
      <c r="E100" s="111" t="s">
        <v>1594</v>
      </c>
      <c r="F100" s="112">
        <v>300.0</v>
      </c>
      <c r="G100" s="111" t="s">
        <v>1864</v>
      </c>
      <c r="H100" s="111" t="s">
        <v>100</v>
      </c>
      <c r="I100" s="111" t="s">
        <v>1865</v>
      </c>
      <c r="J100" s="111" t="s">
        <v>1218</v>
      </c>
      <c r="K100" s="19" t="str">
        <f>IF(COUNTIF(bystudent!B:B, G100) &gt; 0, "yes", "no")</f>
        <v>yes</v>
      </c>
    </row>
    <row r="101" ht="18.75" customHeight="1">
      <c r="A101" s="111" t="s">
        <v>1590</v>
      </c>
      <c r="B101" s="111" t="s">
        <v>1591</v>
      </c>
      <c r="C101" s="111" t="s">
        <v>1592</v>
      </c>
      <c r="D101" s="111" t="s">
        <v>1593</v>
      </c>
      <c r="E101" s="111" t="s">
        <v>1594</v>
      </c>
      <c r="F101" s="112">
        <v>300.0</v>
      </c>
      <c r="G101" s="111" t="s">
        <v>1869</v>
      </c>
      <c r="H101" s="111" t="s">
        <v>1491</v>
      </c>
      <c r="I101" s="111" t="s">
        <v>1870</v>
      </c>
      <c r="J101" s="111" t="s">
        <v>1493</v>
      </c>
      <c r="K101" s="19" t="str">
        <f>IF(COUNTIF(bystudent!B:B, G101) &gt; 0, "yes", "no")</f>
        <v>yes</v>
      </c>
    </row>
    <row r="102" ht="18.75" customHeight="1">
      <c r="A102" s="111" t="s">
        <v>1590</v>
      </c>
      <c r="B102" s="111" t="s">
        <v>1591</v>
      </c>
      <c r="C102" s="111" t="s">
        <v>1592</v>
      </c>
      <c r="D102" s="111" t="s">
        <v>1593</v>
      </c>
      <c r="E102" s="111" t="s">
        <v>1594</v>
      </c>
      <c r="F102" s="112">
        <v>300.0</v>
      </c>
      <c r="G102" s="111" t="s">
        <v>1871</v>
      </c>
      <c r="H102" s="111" t="s">
        <v>725</v>
      </c>
      <c r="I102" s="111" t="s">
        <v>1872</v>
      </c>
      <c r="J102" s="111" t="s">
        <v>727</v>
      </c>
      <c r="K102" s="19" t="str">
        <f>IF(COUNTIF(bystudent!B:B, G102) &gt; 0, "yes", "no")</f>
        <v>yes</v>
      </c>
    </row>
    <row r="103" ht="18.75" customHeight="1">
      <c r="A103" s="111" t="s">
        <v>1590</v>
      </c>
      <c r="B103" s="111" t="s">
        <v>1591</v>
      </c>
      <c r="C103" s="111" t="s">
        <v>1592</v>
      </c>
      <c r="D103" s="111" t="s">
        <v>1593</v>
      </c>
      <c r="E103" s="111" t="s">
        <v>1594</v>
      </c>
      <c r="F103" s="112">
        <v>300.0</v>
      </c>
      <c r="G103" s="111" t="s">
        <v>1873</v>
      </c>
      <c r="H103" s="111" t="s">
        <v>98</v>
      </c>
      <c r="I103" s="111" t="s">
        <v>1874</v>
      </c>
      <c r="J103" s="111" t="s">
        <v>1489</v>
      </c>
      <c r="K103" s="19" t="str">
        <f>IF(COUNTIF(bystudent!B:B, G103) &gt; 0, "yes", "no")</f>
        <v>yes</v>
      </c>
    </row>
    <row r="104" ht="18.75" customHeight="1">
      <c r="A104" s="111" t="s">
        <v>1590</v>
      </c>
      <c r="B104" s="111" t="s">
        <v>1591</v>
      </c>
      <c r="C104" s="111" t="s">
        <v>1592</v>
      </c>
      <c r="D104" s="111" t="s">
        <v>1593</v>
      </c>
      <c r="E104" s="111" t="s">
        <v>1594</v>
      </c>
      <c r="F104" s="112">
        <v>300.0</v>
      </c>
      <c r="G104" s="111" t="s">
        <v>1875</v>
      </c>
      <c r="H104" s="111" t="s">
        <v>599</v>
      </c>
      <c r="I104" s="111" t="s">
        <v>1876</v>
      </c>
      <c r="J104" s="111" t="s">
        <v>603</v>
      </c>
      <c r="K104" s="19" t="str">
        <f>IF(COUNTIF(bystudent!B:B, G104) &gt; 0, "yes", "no")</f>
        <v>yes</v>
      </c>
    </row>
    <row r="105" ht="18.75" customHeight="1">
      <c r="A105" s="111" t="s">
        <v>1590</v>
      </c>
      <c r="B105" s="111" t="s">
        <v>1591</v>
      </c>
      <c r="C105" s="111" t="s">
        <v>1592</v>
      </c>
      <c r="D105" s="111" t="s">
        <v>1593</v>
      </c>
      <c r="E105" s="111" t="s">
        <v>1594</v>
      </c>
      <c r="F105" s="112">
        <v>300.0</v>
      </c>
      <c r="G105" s="111" t="s">
        <v>1877</v>
      </c>
      <c r="H105" s="111" t="s">
        <v>317</v>
      </c>
      <c r="I105" s="111" t="s">
        <v>1878</v>
      </c>
      <c r="J105" s="111" t="s">
        <v>1451</v>
      </c>
      <c r="K105" s="19" t="str">
        <f>IF(COUNTIF(bystudent!B:B, G105) &gt; 0, "yes", "no")</f>
        <v>yes</v>
      </c>
    </row>
    <row r="106" ht="18.75" customHeight="1">
      <c r="A106" s="111" t="s">
        <v>1590</v>
      </c>
      <c r="B106" s="111" t="s">
        <v>1591</v>
      </c>
      <c r="C106" s="111" t="s">
        <v>1592</v>
      </c>
      <c r="D106" s="111" t="s">
        <v>1593</v>
      </c>
      <c r="E106" s="111" t="s">
        <v>1594</v>
      </c>
      <c r="F106" s="112">
        <v>300.0</v>
      </c>
      <c r="G106" s="111" t="s">
        <v>1879</v>
      </c>
      <c r="H106" s="111" t="s">
        <v>405</v>
      </c>
      <c r="I106" s="111" t="s">
        <v>1880</v>
      </c>
      <c r="J106" s="111" t="s">
        <v>580</v>
      </c>
      <c r="K106" s="19" t="str">
        <f>IF(COUNTIF(bystudent!B:B, G106) &gt; 0, "yes", "no")</f>
        <v>yes</v>
      </c>
    </row>
    <row r="107" ht="18.75" customHeight="1">
      <c r="A107" s="111" t="s">
        <v>1590</v>
      </c>
      <c r="B107" s="111" t="s">
        <v>1591</v>
      </c>
      <c r="C107" s="111" t="s">
        <v>1592</v>
      </c>
      <c r="D107" s="111" t="s">
        <v>1593</v>
      </c>
      <c r="E107" s="111" t="s">
        <v>1594</v>
      </c>
      <c r="F107" s="112">
        <v>300.0</v>
      </c>
      <c r="G107" s="111" t="s">
        <v>1881</v>
      </c>
      <c r="H107" s="111" t="s">
        <v>314</v>
      </c>
      <c r="I107" s="111" t="s">
        <v>1882</v>
      </c>
      <c r="J107" s="111" t="s">
        <v>1465</v>
      </c>
      <c r="K107" s="19" t="str">
        <f>IF(COUNTIF(bystudent!B:B, G107) &gt; 0, "yes", "no")</f>
        <v>yes</v>
      </c>
    </row>
    <row r="108" ht="18.75" customHeight="1">
      <c r="A108" s="111" t="s">
        <v>1590</v>
      </c>
      <c r="B108" s="111" t="s">
        <v>1591</v>
      </c>
      <c r="C108" s="111" t="s">
        <v>1592</v>
      </c>
      <c r="D108" s="111" t="s">
        <v>1593</v>
      </c>
      <c r="E108" s="111" t="s">
        <v>1594</v>
      </c>
      <c r="F108" s="112">
        <v>300.0</v>
      </c>
      <c r="G108" s="111" t="s">
        <v>1883</v>
      </c>
      <c r="H108" s="111" t="s">
        <v>644</v>
      </c>
      <c r="I108" s="111" t="s">
        <v>1884</v>
      </c>
      <c r="J108" s="111" t="s">
        <v>655</v>
      </c>
      <c r="K108" s="19" t="str">
        <f>IF(COUNTIF(bystudent!B:B, G108) &gt; 0, "yes", "no")</f>
        <v>yes</v>
      </c>
    </row>
    <row r="109" ht="18.75" customHeight="1">
      <c r="A109" s="111" t="s">
        <v>1590</v>
      </c>
      <c r="B109" s="111" t="s">
        <v>1591</v>
      </c>
      <c r="C109" s="111" t="s">
        <v>1592</v>
      </c>
      <c r="D109" s="111" t="s">
        <v>1593</v>
      </c>
      <c r="E109" s="111" t="s">
        <v>1594</v>
      </c>
      <c r="F109" s="112">
        <v>300.0</v>
      </c>
      <c r="G109" s="111" t="s">
        <v>1885</v>
      </c>
      <c r="H109" s="111" t="s">
        <v>658</v>
      </c>
      <c r="I109" s="111" t="s">
        <v>1886</v>
      </c>
      <c r="J109" s="111" t="s">
        <v>660</v>
      </c>
      <c r="K109" s="19" t="str">
        <f>IF(COUNTIF(bystudent!B:B, G109) &gt; 0, "yes", "no")</f>
        <v>yes</v>
      </c>
    </row>
    <row r="110" ht="18.75" customHeight="1">
      <c r="A110" s="111" t="s">
        <v>1590</v>
      </c>
      <c r="B110" s="111" t="s">
        <v>1591</v>
      </c>
      <c r="C110" s="111" t="s">
        <v>1592</v>
      </c>
      <c r="D110" s="111" t="s">
        <v>1593</v>
      </c>
      <c r="E110" s="111" t="s">
        <v>1594</v>
      </c>
      <c r="F110" s="112">
        <v>300.0</v>
      </c>
      <c r="G110" s="111" t="s">
        <v>1887</v>
      </c>
      <c r="H110" s="111" t="s">
        <v>374</v>
      </c>
      <c r="I110" s="111" t="s">
        <v>1888</v>
      </c>
      <c r="J110" s="111" t="s">
        <v>575</v>
      </c>
      <c r="K110" s="19" t="str">
        <f>IF(COUNTIF(bystudent!B:B, G110) &gt; 0, "yes", "no")</f>
        <v>yes</v>
      </c>
    </row>
    <row r="111" ht="18.75" customHeight="1">
      <c r="A111" s="111" t="s">
        <v>1590</v>
      </c>
      <c r="B111" s="111" t="s">
        <v>1591</v>
      </c>
      <c r="C111" s="111" t="s">
        <v>1592</v>
      </c>
      <c r="D111" s="111" t="s">
        <v>1593</v>
      </c>
      <c r="E111" s="111" t="s">
        <v>1594</v>
      </c>
      <c r="F111" s="112">
        <v>300.0</v>
      </c>
      <c r="G111" s="111" t="s">
        <v>1889</v>
      </c>
      <c r="H111" s="111" t="s">
        <v>481</v>
      </c>
      <c r="I111" s="111" t="s">
        <v>1890</v>
      </c>
      <c r="J111" s="111" t="s">
        <v>483</v>
      </c>
      <c r="K111" s="19" t="str">
        <f>IF(COUNTIF(bystudent!B:B, G111) &gt; 0, "yes", "no")</f>
        <v>yes</v>
      </c>
    </row>
    <row r="112" ht="18.75" customHeight="1">
      <c r="A112" s="111" t="s">
        <v>1590</v>
      </c>
      <c r="B112" s="111" t="s">
        <v>1591</v>
      </c>
      <c r="C112" s="111" t="s">
        <v>1592</v>
      </c>
      <c r="D112" s="111" t="s">
        <v>1593</v>
      </c>
      <c r="E112" s="111" t="s">
        <v>1594</v>
      </c>
      <c r="F112" s="112">
        <v>300.0</v>
      </c>
      <c r="G112" s="111" t="s">
        <v>1891</v>
      </c>
      <c r="H112" s="111" t="s">
        <v>406</v>
      </c>
      <c r="I112" s="111" t="s">
        <v>1892</v>
      </c>
      <c r="J112" s="111" t="s">
        <v>949</v>
      </c>
      <c r="K112" s="19" t="str">
        <f>IF(COUNTIF(bystudent!B:B, G112) &gt; 0, "yes", "no")</f>
        <v>yes</v>
      </c>
    </row>
    <row r="113" ht="18.75" customHeight="1">
      <c r="A113" s="111" t="s">
        <v>1590</v>
      </c>
      <c r="B113" s="111" t="s">
        <v>1591</v>
      </c>
      <c r="C113" s="111" t="s">
        <v>1592</v>
      </c>
      <c r="D113" s="111" t="s">
        <v>1593</v>
      </c>
      <c r="E113" s="111" t="s">
        <v>1594</v>
      </c>
      <c r="F113" s="112">
        <v>300.0</v>
      </c>
      <c r="G113" s="111" t="s">
        <v>1893</v>
      </c>
      <c r="H113" s="111" t="s">
        <v>205</v>
      </c>
      <c r="I113" s="111" t="s">
        <v>1894</v>
      </c>
      <c r="J113" s="111" t="s">
        <v>1207</v>
      </c>
      <c r="K113" s="19" t="str">
        <f>IF(COUNTIF(bystudent!B:B, G113) &gt; 0, "yes", "no")</f>
        <v>yes</v>
      </c>
    </row>
    <row r="114" ht="18.75" customHeight="1">
      <c r="A114" s="111" t="s">
        <v>1590</v>
      </c>
      <c r="B114" s="111" t="s">
        <v>1591</v>
      </c>
      <c r="C114" s="111" t="s">
        <v>1592</v>
      </c>
      <c r="D114" s="111" t="s">
        <v>1593</v>
      </c>
      <c r="E114" s="111" t="s">
        <v>1594</v>
      </c>
      <c r="F114" s="112">
        <v>300.0</v>
      </c>
      <c r="G114" s="111" t="s">
        <v>1895</v>
      </c>
      <c r="H114" s="111" t="s">
        <v>248</v>
      </c>
      <c r="I114" s="111" t="s">
        <v>1896</v>
      </c>
      <c r="J114" s="111" t="s">
        <v>688</v>
      </c>
      <c r="K114" s="19" t="str">
        <f>IF(COUNTIF(bystudent!B:B, G114) &gt; 0, "yes", "no")</f>
        <v>yes</v>
      </c>
    </row>
    <row r="115" ht="18.75" customHeight="1">
      <c r="A115" s="111" t="s">
        <v>1590</v>
      </c>
      <c r="B115" s="111" t="s">
        <v>1591</v>
      </c>
      <c r="C115" s="111" t="s">
        <v>1592</v>
      </c>
      <c r="D115" s="111" t="s">
        <v>1593</v>
      </c>
      <c r="E115" s="111" t="s">
        <v>1594</v>
      </c>
      <c r="F115" s="112">
        <v>300.0</v>
      </c>
      <c r="G115" s="111" t="s">
        <v>1897</v>
      </c>
      <c r="H115" s="111" t="s">
        <v>209</v>
      </c>
      <c r="I115" s="111" t="s">
        <v>1898</v>
      </c>
      <c r="J115" s="111" t="s">
        <v>1116</v>
      </c>
      <c r="K115" s="19" t="str">
        <f>IF(COUNTIF(bystudent!B:B, G115) &gt; 0, "yes", "no")</f>
        <v>yes</v>
      </c>
    </row>
    <row r="116" ht="18.75" customHeight="1">
      <c r="A116" s="111" t="s">
        <v>1590</v>
      </c>
      <c r="B116" s="111" t="s">
        <v>1591</v>
      </c>
      <c r="C116" s="111" t="s">
        <v>1592</v>
      </c>
      <c r="D116" s="111" t="s">
        <v>1593</v>
      </c>
      <c r="E116" s="111" t="s">
        <v>1594</v>
      </c>
      <c r="F116" s="112">
        <v>300.0</v>
      </c>
      <c r="G116" s="111" t="s">
        <v>1899</v>
      </c>
      <c r="H116" s="111" t="s">
        <v>1294</v>
      </c>
      <c r="I116" s="111" t="s">
        <v>1900</v>
      </c>
      <c r="J116" s="111" t="s">
        <v>1300</v>
      </c>
      <c r="K116" s="19" t="str">
        <f>IF(COUNTIF(bystudent!B:B, G116) &gt; 0, "yes", "no")</f>
        <v>yes</v>
      </c>
    </row>
    <row r="117" ht="18.75" customHeight="1">
      <c r="A117" s="111" t="s">
        <v>1590</v>
      </c>
      <c r="B117" s="111" t="s">
        <v>1591</v>
      </c>
      <c r="C117" s="111" t="s">
        <v>1592</v>
      </c>
      <c r="D117" s="111" t="s">
        <v>1593</v>
      </c>
      <c r="E117" s="111" t="s">
        <v>1594</v>
      </c>
      <c r="F117" s="112">
        <v>300.0</v>
      </c>
      <c r="G117" s="111" t="s">
        <v>1901</v>
      </c>
      <c r="H117" s="111" t="s">
        <v>1902</v>
      </c>
      <c r="I117" s="111" t="s">
        <v>1903</v>
      </c>
      <c r="J117" s="111" t="s">
        <v>1559</v>
      </c>
      <c r="K117" s="19" t="str">
        <f>IF(COUNTIF(bystudent!B:B, G117) &gt; 0, "yes", "no")</f>
        <v>yes</v>
      </c>
    </row>
    <row r="118" ht="18.75" customHeight="1">
      <c r="A118" s="111" t="s">
        <v>1590</v>
      </c>
      <c r="B118" s="111" t="s">
        <v>1591</v>
      </c>
      <c r="C118" s="111" t="s">
        <v>1592</v>
      </c>
      <c r="D118" s="111" t="s">
        <v>1593</v>
      </c>
      <c r="E118" s="111" t="s">
        <v>1594</v>
      </c>
      <c r="F118" s="112">
        <v>300.0</v>
      </c>
      <c r="G118" s="111" t="s">
        <v>1904</v>
      </c>
      <c r="H118" s="111" t="s">
        <v>753</v>
      </c>
      <c r="I118" s="111" t="s">
        <v>1905</v>
      </c>
      <c r="J118" s="111" t="s">
        <v>755</v>
      </c>
      <c r="K118" s="19" t="str">
        <f>IF(COUNTIF(bystudent!B:B, G118) &gt; 0, "yes", "no")</f>
        <v>yes</v>
      </c>
    </row>
    <row r="119" ht="18.75" customHeight="1">
      <c r="A119" s="111" t="s">
        <v>1590</v>
      </c>
      <c r="B119" s="111" t="s">
        <v>1591</v>
      </c>
      <c r="C119" s="111" t="s">
        <v>1592</v>
      </c>
      <c r="D119" s="111" t="s">
        <v>1593</v>
      </c>
      <c r="E119" s="111" t="s">
        <v>1594</v>
      </c>
      <c r="F119" s="112">
        <v>300.0</v>
      </c>
      <c r="G119" s="111" t="s">
        <v>1906</v>
      </c>
      <c r="H119" s="111" t="s">
        <v>1368</v>
      </c>
      <c r="I119" s="111" t="s">
        <v>1907</v>
      </c>
      <c r="J119" s="111" t="s">
        <v>1370</v>
      </c>
      <c r="K119" s="19" t="str">
        <f>IF(COUNTIF(bystudent!B:B, G119) &gt; 0, "yes", "no")</f>
        <v>yes</v>
      </c>
    </row>
    <row r="120" ht="18.75" customHeight="1">
      <c r="A120" s="111" t="s">
        <v>1590</v>
      </c>
      <c r="B120" s="111" t="s">
        <v>1591</v>
      </c>
      <c r="C120" s="111" t="s">
        <v>1592</v>
      </c>
      <c r="D120" s="111" t="s">
        <v>1593</v>
      </c>
      <c r="E120" s="111" t="s">
        <v>1594</v>
      </c>
      <c r="F120" s="112">
        <v>300.0</v>
      </c>
      <c r="G120" s="111" t="s">
        <v>1908</v>
      </c>
      <c r="H120" s="111" t="s">
        <v>1051</v>
      </c>
      <c r="I120" s="111" t="s">
        <v>1909</v>
      </c>
      <c r="J120" s="111" t="s">
        <v>1050</v>
      </c>
      <c r="K120" s="19" t="str">
        <f>IF(COUNTIF(bystudent!B:B, G120) &gt; 0, "yes", "no")</f>
        <v>yes</v>
      </c>
    </row>
    <row r="121" ht="18.75" customHeight="1">
      <c r="A121" s="111" t="s">
        <v>1590</v>
      </c>
      <c r="B121" s="111" t="s">
        <v>1591</v>
      </c>
      <c r="C121" s="111" t="s">
        <v>1592</v>
      </c>
      <c r="D121" s="111" t="s">
        <v>1593</v>
      </c>
      <c r="E121" s="111" t="s">
        <v>1594</v>
      </c>
      <c r="F121" s="112">
        <v>300.0</v>
      </c>
      <c r="G121" s="111" t="s">
        <v>1910</v>
      </c>
      <c r="H121" s="111" t="s">
        <v>95</v>
      </c>
      <c r="I121" s="111" t="s">
        <v>1911</v>
      </c>
      <c r="J121" s="111" t="s">
        <v>1076</v>
      </c>
      <c r="K121" s="19" t="str">
        <f>IF(COUNTIF(bystudent!B:B, G121) &gt; 0, "yes", "no")</f>
        <v>yes</v>
      </c>
    </row>
    <row r="122" ht="18.75" customHeight="1">
      <c r="A122" s="111" t="s">
        <v>1590</v>
      </c>
      <c r="B122" s="111" t="s">
        <v>1591</v>
      </c>
      <c r="C122" s="111" t="s">
        <v>1592</v>
      </c>
      <c r="D122" s="111" t="s">
        <v>1593</v>
      </c>
      <c r="E122" s="111" t="s">
        <v>1594</v>
      </c>
      <c r="F122" s="112">
        <v>300.0</v>
      </c>
      <c r="G122" s="111" t="s">
        <v>1912</v>
      </c>
      <c r="H122" s="111" t="s">
        <v>181</v>
      </c>
      <c r="I122" s="111" t="s">
        <v>1913</v>
      </c>
      <c r="J122" s="111" t="s">
        <v>765</v>
      </c>
      <c r="K122" s="19" t="str">
        <f>IF(COUNTIF(bystudent!B:B, G122) &gt; 0, "yes", "no")</f>
        <v>yes</v>
      </c>
    </row>
    <row r="123" ht="18.75" customHeight="1">
      <c r="A123" s="111" t="s">
        <v>1590</v>
      </c>
      <c r="B123" s="111" t="s">
        <v>1591</v>
      </c>
      <c r="C123" s="111" t="s">
        <v>1592</v>
      </c>
      <c r="D123" s="111" t="s">
        <v>1593</v>
      </c>
      <c r="E123" s="111" t="s">
        <v>1594</v>
      </c>
      <c r="F123" s="112">
        <v>300.0</v>
      </c>
      <c r="G123" s="111" t="s">
        <v>1914</v>
      </c>
      <c r="H123" s="111" t="s">
        <v>733</v>
      </c>
      <c r="I123" s="111" t="s">
        <v>1915</v>
      </c>
      <c r="J123" s="111" t="s">
        <v>736</v>
      </c>
      <c r="K123" s="19" t="str">
        <f>IF(COUNTIF(bystudent!B:B, G123) &gt; 0, "yes", "no")</f>
        <v>yes</v>
      </c>
    </row>
    <row r="124" ht="18.75" customHeight="1">
      <c r="A124" s="111" t="s">
        <v>1590</v>
      </c>
      <c r="B124" s="111" t="s">
        <v>1591</v>
      </c>
      <c r="C124" s="111" t="s">
        <v>1592</v>
      </c>
      <c r="D124" s="111" t="s">
        <v>1593</v>
      </c>
      <c r="E124" s="111" t="s">
        <v>1594</v>
      </c>
      <c r="F124" s="112">
        <v>300.0</v>
      </c>
      <c r="G124" s="111" t="s">
        <v>1916</v>
      </c>
      <c r="H124" s="111" t="s">
        <v>238</v>
      </c>
      <c r="I124" s="111" t="s">
        <v>1917</v>
      </c>
      <c r="J124" s="111" t="s">
        <v>729</v>
      </c>
      <c r="K124" s="19" t="str">
        <f>IF(COUNTIF(bystudent!B:B, G124) &gt; 0, "yes", "no")</f>
        <v>yes</v>
      </c>
    </row>
    <row r="125" ht="18.75" customHeight="1">
      <c r="A125" s="111" t="s">
        <v>1590</v>
      </c>
      <c r="B125" s="111" t="s">
        <v>1591</v>
      </c>
      <c r="C125" s="111" t="s">
        <v>1592</v>
      </c>
      <c r="D125" s="111" t="s">
        <v>1593</v>
      </c>
      <c r="E125" s="111" t="s">
        <v>1594</v>
      </c>
      <c r="F125" s="112">
        <v>300.0</v>
      </c>
      <c r="G125" s="111" t="s">
        <v>1918</v>
      </c>
      <c r="H125" s="111" t="s">
        <v>216</v>
      </c>
      <c r="I125" s="111" t="s">
        <v>1919</v>
      </c>
      <c r="J125" s="111" t="s">
        <v>215</v>
      </c>
      <c r="K125" s="19" t="str">
        <f>IF(COUNTIF(bystudent!B:B, G125) &gt; 0, "yes", "no")</f>
        <v>yes</v>
      </c>
    </row>
    <row r="126" ht="18.75" customHeight="1">
      <c r="A126" s="111" t="s">
        <v>1590</v>
      </c>
      <c r="B126" s="111" t="s">
        <v>1591</v>
      </c>
      <c r="C126" s="111" t="s">
        <v>1592</v>
      </c>
      <c r="D126" s="111" t="s">
        <v>1593</v>
      </c>
      <c r="E126" s="111" t="s">
        <v>1594</v>
      </c>
      <c r="F126" s="112">
        <v>300.0</v>
      </c>
      <c r="G126" s="111" t="s">
        <v>1920</v>
      </c>
      <c r="H126" s="111" t="s">
        <v>403</v>
      </c>
      <c r="I126" s="111" t="s">
        <v>1921</v>
      </c>
      <c r="J126" s="111" t="s">
        <v>501</v>
      </c>
      <c r="K126" s="19" t="str">
        <f>IF(COUNTIF(bystudent!B:B, G126) &gt; 0, "yes", "no")</f>
        <v>yes</v>
      </c>
    </row>
    <row r="127" ht="18.75" customHeight="1">
      <c r="A127" s="111" t="s">
        <v>1590</v>
      </c>
      <c r="B127" s="111" t="s">
        <v>1591</v>
      </c>
      <c r="C127" s="111" t="s">
        <v>1592</v>
      </c>
      <c r="D127" s="111" t="s">
        <v>1593</v>
      </c>
      <c r="E127" s="111" t="s">
        <v>1594</v>
      </c>
      <c r="F127" s="112">
        <v>300.0</v>
      </c>
      <c r="G127" s="111" t="s">
        <v>1922</v>
      </c>
      <c r="H127" s="111" t="s">
        <v>1505</v>
      </c>
      <c r="I127" s="111" t="s">
        <v>1923</v>
      </c>
      <c r="J127" s="111" t="s">
        <v>1507</v>
      </c>
      <c r="K127" s="19" t="str">
        <f>IF(COUNTIF(bystudent!B:B, G127) &gt; 0, "yes", "no")</f>
        <v>yes</v>
      </c>
    </row>
    <row r="128" ht="18.75" customHeight="1">
      <c r="A128" s="111" t="s">
        <v>1590</v>
      </c>
      <c r="B128" s="111" t="s">
        <v>1591</v>
      </c>
      <c r="C128" s="111" t="s">
        <v>1592</v>
      </c>
      <c r="D128" s="111" t="s">
        <v>1593</v>
      </c>
      <c r="E128" s="111" t="s">
        <v>1594</v>
      </c>
      <c r="F128" s="112">
        <v>300.0</v>
      </c>
      <c r="G128" s="111" t="s">
        <v>1924</v>
      </c>
      <c r="H128" s="111" t="s">
        <v>306</v>
      </c>
      <c r="I128" s="111" t="s">
        <v>1925</v>
      </c>
      <c r="J128" s="111" t="s">
        <v>304</v>
      </c>
      <c r="K128" s="19" t="str">
        <f>IF(COUNTIF(bystudent!B:B, G128) &gt; 0, "yes", "no")</f>
        <v>yes</v>
      </c>
    </row>
    <row r="129" ht="18.75" customHeight="1">
      <c r="A129" s="111" t="s">
        <v>1590</v>
      </c>
      <c r="B129" s="111" t="s">
        <v>1591</v>
      </c>
      <c r="C129" s="111" t="s">
        <v>1592</v>
      </c>
      <c r="D129" s="111" t="s">
        <v>1593</v>
      </c>
      <c r="E129" s="111" t="s">
        <v>1594</v>
      </c>
      <c r="F129" s="112">
        <v>300.0</v>
      </c>
      <c r="G129" s="111" t="s">
        <v>1926</v>
      </c>
      <c r="H129" s="111" t="s">
        <v>1057</v>
      </c>
      <c r="I129" s="111" t="s">
        <v>1927</v>
      </c>
      <c r="J129" s="111" t="s">
        <v>1055</v>
      </c>
      <c r="K129" s="19" t="str">
        <f>IF(COUNTIF(bystudent!B:B, G129) &gt; 0, "yes", "no")</f>
        <v>yes</v>
      </c>
    </row>
    <row r="130" ht="18.75" customHeight="1">
      <c r="A130" s="111" t="s">
        <v>1590</v>
      </c>
      <c r="B130" s="111" t="s">
        <v>1591</v>
      </c>
      <c r="C130" s="111" t="s">
        <v>1592</v>
      </c>
      <c r="D130" s="111" t="s">
        <v>1593</v>
      </c>
      <c r="E130" s="111" t="s">
        <v>1594</v>
      </c>
      <c r="F130" s="112">
        <v>300.0</v>
      </c>
      <c r="G130" s="111" t="s">
        <v>1928</v>
      </c>
      <c r="H130" s="111" t="s">
        <v>115</v>
      </c>
      <c r="I130" s="111" t="s">
        <v>1929</v>
      </c>
      <c r="J130" s="111" t="s">
        <v>689</v>
      </c>
      <c r="K130" s="19" t="str">
        <f>IF(COUNTIF(bystudent!B:B, G130) &gt; 0, "yes", "no")</f>
        <v>yes</v>
      </c>
    </row>
    <row r="131" ht="18.75" customHeight="1">
      <c r="A131" s="111" t="s">
        <v>1590</v>
      </c>
      <c r="B131" s="111" t="s">
        <v>1591</v>
      </c>
      <c r="C131" s="111" t="s">
        <v>1592</v>
      </c>
      <c r="D131" s="111" t="s">
        <v>1593</v>
      </c>
      <c r="E131" s="111" t="s">
        <v>1594</v>
      </c>
      <c r="F131" s="112">
        <v>300.0</v>
      </c>
      <c r="G131" s="111" t="s">
        <v>1930</v>
      </c>
      <c r="H131" s="111" t="s">
        <v>1525</v>
      </c>
      <c r="I131" s="111" t="s">
        <v>1931</v>
      </c>
      <c r="J131" s="111" t="s">
        <v>1527</v>
      </c>
      <c r="K131" s="19" t="str">
        <f>IF(COUNTIF(bystudent!B:B, G131) &gt; 0, "yes", "no")</f>
        <v>yes</v>
      </c>
    </row>
    <row r="132" ht="18.75" customHeight="1">
      <c r="A132" s="111" t="s">
        <v>1590</v>
      </c>
      <c r="B132" s="111" t="s">
        <v>1591</v>
      </c>
      <c r="C132" s="111" t="s">
        <v>1592</v>
      </c>
      <c r="D132" s="111" t="s">
        <v>1593</v>
      </c>
      <c r="E132" s="111" t="s">
        <v>1594</v>
      </c>
      <c r="F132" s="112">
        <v>300.0</v>
      </c>
      <c r="G132" s="111" t="s">
        <v>1932</v>
      </c>
      <c r="H132" s="111" t="s">
        <v>275</v>
      </c>
      <c r="I132" s="111" t="s">
        <v>1933</v>
      </c>
      <c r="J132" s="111" t="s">
        <v>1236</v>
      </c>
      <c r="K132" s="19" t="str">
        <f>IF(COUNTIF(bystudent!B:B, G132) &gt; 0, "yes", "no")</f>
        <v>yes</v>
      </c>
    </row>
    <row r="133" ht="18.75" customHeight="1">
      <c r="A133" s="111" t="s">
        <v>1590</v>
      </c>
      <c r="B133" s="111" t="s">
        <v>1591</v>
      </c>
      <c r="C133" s="111" t="s">
        <v>1592</v>
      </c>
      <c r="D133" s="111" t="s">
        <v>1593</v>
      </c>
      <c r="E133" s="111" t="s">
        <v>1594</v>
      </c>
      <c r="F133" s="112">
        <v>300.0</v>
      </c>
      <c r="G133" s="111" t="s">
        <v>1934</v>
      </c>
      <c r="H133" s="111" t="s">
        <v>121</v>
      </c>
      <c r="I133" s="111" t="s">
        <v>1935</v>
      </c>
      <c r="J133" s="111" t="s">
        <v>702</v>
      </c>
      <c r="K133" s="19" t="str">
        <f>IF(COUNTIF(bystudent!B:B, G133) &gt; 0, "yes", "no")</f>
        <v>yes</v>
      </c>
    </row>
    <row r="134" ht="18.75" customHeight="1">
      <c r="A134" s="111" t="s">
        <v>1590</v>
      </c>
      <c r="B134" s="111" t="s">
        <v>1591</v>
      </c>
      <c r="C134" s="111" t="s">
        <v>1592</v>
      </c>
      <c r="D134" s="111" t="s">
        <v>1593</v>
      </c>
      <c r="E134" s="111" t="s">
        <v>1594</v>
      </c>
      <c r="F134" s="112">
        <v>300.0</v>
      </c>
      <c r="G134" s="111" t="s">
        <v>1936</v>
      </c>
      <c r="H134" s="111" t="s">
        <v>135</v>
      </c>
      <c r="I134" s="111" t="s">
        <v>1937</v>
      </c>
      <c r="J134" s="111" t="s">
        <v>1457</v>
      </c>
      <c r="K134" s="19" t="str">
        <f>IF(COUNTIF(bystudent!B:B, G134) &gt; 0, "yes", "no")</f>
        <v>yes</v>
      </c>
    </row>
    <row r="135" ht="18.75" customHeight="1">
      <c r="A135" s="111" t="s">
        <v>1590</v>
      </c>
      <c r="B135" s="111" t="s">
        <v>1591</v>
      </c>
      <c r="C135" s="111" t="s">
        <v>1592</v>
      </c>
      <c r="D135" s="111" t="s">
        <v>1593</v>
      </c>
      <c r="E135" s="111" t="s">
        <v>1594</v>
      </c>
      <c r="F135" s="112">
        <v>300.0</v>
      </c>
      <c r="G135" s="111" t="s">
        <v>1938</v>
      </c>
      <c r="H135" s="111" t="s">
        <v>661</v>
      </c>
      <c r="I135" s="111" t="s">
        <v>1939</v>
      </c>
      <c r="J135" s="111" t="s">
        <v>663</v>
      </c>
      <c r="K135" s="19" t="str">
        <f>IF(COUNTIF(bystudent!B:B, G135) &gt; 0, "yes", "no")</f>
        <v>yes</v>
      </c>
    </row>
    <row r="136" ht="18.75" customHeight="1">
      <c r="A136" s="111" t="s">
        <v>1590</v>
      </c>
      <c r="B136" s="111" t="s">
        <v>1591</v>
      </c>
      <c r="C136" s="111" t="s">
        <v>1592</v>
      </c>
      <c r="D136" s="111" t="s">
        <v>1593</v>
      </c>
      <c r="E136" s="111" t="s">
        <v>1594</v>
      </c>
      <c r="F136" s="112">
        <v>300.0</v>
      </c>
      <c r="G136" s="111" t="s">
        <v>1940</v>
      </c>
      <c r="H136" s="111" t="s">
        <v>118</v>
      </c>
      <c r="I136" s="111" t="s">
        <v>1941</v>
      </c>
      <c r="J136" s="111" t="s">
        <v>676</v>
      </c>
      <c r="K136" s="19" t="str">
        <f>IF(COUNTIF(bystudent!B:B, G136) &gt; 0, "yes", "no")</f>
        <v>yes</v>
      </c>
    </row>
    <row r="137" ht="18.75" customHeight="1">
      <c r="A137" s="111" t="s">
        <v>1590</v>
      </c>
      <c r="B137" s="111" t="s">
        <v>1591</v>
      </c>
      <c r="C137" s="111" t="s">
        <v>1592</v>
      </c>
      <c r="D137" s="111" t="s">
        <v>1593</v>
      </c>
      <c r="E137" s="111" t="s">
        <v>1594</v>
      </c>
      <c r="F137" s="112">
        <v>300.0</v>
      </c>
      <c r="G137" s="111" t="s">
        <v>1942</v>
      </c>
      <c r="H137" s="111" t="s">
        <v>147</v>
      </c>
      <c r="I137" s="111" t="s">
        <v>1943</v>
      </c>
      <c r="J137" s="111" t="s">
        <v>592</v>
      </c>
      <c r="K137" s="19" t="str">
        <f>IF(COUNTIF(bystudent!B:B, G137) &gt; 0, "yes", "no")</f>
        <v>yes</v>
      </c>
    </row>
    <row r="138" ht="18.75" customHeight="1">
      <c r="A138" s="111" t="s">
        <v>1590</v>
      </c>
      <c r="B138" s="111" t="s">
        <v>1591</v>
      </c>
      <c r="C138" s="111" t="s">
        <v>1592</v>
      </c>
      <c r="D138" s="111" t="s">
        <v>1593</v>
      </c>
      <c r="E138" s="111" t="s">
        <v>1594</v>
      </c>
      <c r="F138" s="112">
        <v>300.0</v>
      </c>
      <c r="G138" s="111" t="s">
        <v>1944</v>
      </c>
      <c r="H138" s="111" t="s">
        <v>1945</v>
      </c>
      <c r="I138" s="111" t="s">
        <v>1946</v>
      </c>
      <c r="J138" s="111" t="s">
        <v>1947</v>
      </c>
      <c r="K138" s="19" t="str">
        <f>IF(COUNTIF(bystudent!B:B, G138) &gt; 0, "yes", "no")</f>
        <v>yes</v>
      </c>
    </row>
    <row r="139" ht="18.75" customHeight="1">
      <c r="A139" s="111" t="s">
        <v>1590</v>
      </c>
      <c r="B139" s="111" t="s">
        <v>1591</v>
      </c>
      <c r="C139" s="111" t="s">
        <v>1592</v>
      </c>
      <c r="D139" s="111" t="s">
        <v>1593</v>
      </c>
      <c r="E139" s="111" t="s">
        <v>1594</v>
      </c>
      <c r="F139" s="112">
        <v>300.0</v>
      </c>
      <c r="G139" s="111" t="s">
        <v>1948</v>
      </c>
      <c r="H139" s="111" t="s">
        <v>516</v>
      </c>
      <c r="I139" s="111" t="s">
        <v>1949</v>
      </c>
      <c r="J139" s="111" t="s">
        <v>515</v>
      </c>
      <c r="K139" s="19" t="str">
        <f>IF(COUNTIF(bystudent!B:B, G139) &gt; 0, "yes", "no")</f>
        <v>yes</v>
      </c>
    </row>
    <row r="140" ht="18.75" customHeight="1">
      <c r="A140" s="111" t="s">
        <v>1590</v>
      </c>
      <c r="B140" s="111" t="s">
        <v>1591</v>
      </c>
      <c r="C140" s="111" t="s">
        <v>1592</v>
      </c>
      <c r="D140" s="111" t="s">
        <v>1593</v>
      </c>
      <c r="E140" s="111" t="s">
        <v>1594</v>
      </c>
      <c r="F140" s="112">
        <v>300.0</v>
      </c>
      <c r="G140" s="111" t="s">
        <v>1950</v>
      </c>
      <c r="H140" s="111" t="s">
        <v>1473</v>
      </c>
      <c r="I140" s="111" t="s">
        <v>1951</v>
      </c>
      <c r="J140" s="111" t="s">
        <v>1472</v>
      </c>
      <c r="K140" s="19" t="str">
        <f>IF(COUNTIF(bystudent!B:B, G140) &gt; 0, "yes", "no")</f>
        <v>yes</v>
      </c>
    </row>
    <row r="141" ht="18.75" customHeight="1">
      <c r="A141" s="111" t="s">
        <v>1590</v>
      </c>
      <c r="B141" s="111" t="s">
        <v>1591</v>
      </c>
      <c r="C141" s="111" t="s">
        <v>1592</v>
      </c>
      <c r="D141" s="111" t="s">
        <v>1593</v>
      </c>
      <c r="E141" s="111" t="s">
        <v>1594</v>
      </c>
      <c r="F141" s="112">
        <v>300.0</v>
      </c>
      <c r="G141" s="111" t="s">
        <v>1952</v>
      </c>
      <c r="H141" s="111" t="s">
        <v>133</v>
      </c>
      <c r="I141" s="111" t="s">
        <v>1953</v>
      </c>
      <c r="J141" s="111" t="s">
        <v>742</v>
      </c>
      <c r="K141" s="19" t="str">
        <f>IF(COUNTIF(bystudent!B:B, G141) &gt; 0, "yes", "no")</f>
        <v>yes</v>
      </c>
    </row>
    <row r="142" ht="18.75" customHeight="1">
      <c r="A142" s="111" t="s">
        <v>1590</v>
      </c>
      <c r="B142" s="111" t="s">
        <v>1591</v>
      </c>
      <c r="C142" s="111" t="s">
        <v>1592</v>
      </c>
      <c r="D142" s="111" t="s">
        <v>1593</v>
      </c>
      <c r="E142" s="111" t="s">
        <v>1594</v>
      </c>
      <c r="F142" s="112">
        <v>300.0</v>
      </c>
      <c r="G142" s="111" t="s">
        <v>1954</v>
      </c>
      <c r="H142" s="111" t="s">
        <v>102</v>
      </c>
      <c r="I142" s="111" t="s">
        <v>1955</v>
      </c>
      <c r="J142" s="111" t="s">
        <v>1397</v>
      </c>
      <c r="K142" s="19" t="str">
        <f>IF(COUNTIF(bystudent!B:B, G142) &gt; 0, "yes", "no")</f>
        <v>yes</v>
      </c>
    </row>
    <row r="143" ht="18.75" customHeight="1">
      <c r="A143" s="111" t="s">
        <v>1590</v>
      </c>
      <c r="B143" s="111" t="s">
        <v>1591</v>
      </c>
      <c r="C143" s="111" t="s">
        <v>1592</v>
      </c>
      <c r="D143" s="111" t="s">
        <v>1593</v>
      </c>
      <c r="E143" s="111" t="s">
        <v>1594</v>
      </c>
      <c r="F143" s="112">
        <v>300.0</v>
      </c>
      <c r="G143" s="111" t="s">
        <v>1956</v>
      </c>
      <c r="H143" s="111" t="s">
        <v>326</v>
      </c>
      <c r="I143" s="111" t="s">
        <v>1957</v>
      </c>
      <c r="J143" s="111" t="s">
        <v>1521</v>
      </c>
      <c r="K143" s="19" t="str">
        <f>IF(COUNTIF(bystudent!B:B, G143) &gt; 0, "yes", "no")</f>
        <v>yes</v>
      </c>
    </row>
    <row r="144" ht="18.75" customHeight="1">
      <c r="A144" s="111" t="s">
        <v>1590</v>
      </c>
      <c r="B144" s="111" t="s">
        <v>1591</v>
      </c>
      <c r="C144" s="111" t="s">
        <v>1592</v>
      </c>
      <c r="D144" s="111" t="s">
        <v>1593</v>
      </c>
      <c r="E144" s="111" t="s">
        <v>1594</v>
      </c>
      <c r="F144" s="112">
        <v>300.0</v>
      </c>
      <c r="G144" s="111" t="s">
        <v>1958</v>
      </c>
      <c r="H144" s="111" t="s">
        <v>246</v>
      </c>
      <c r="I144" s="111" t="s">
        <v>1959</v>
      </c>
      <c r="J144" s="111" t="s">
        <v>1020</v>
      </c>
      <c r="K144" s="19" t="str">
        <f>IF(COUNTIF(bystudent!B:B, G144) &gt; 0, "yes", "no")</f>
        <v>yes</v>
      </c>
    </row>
    <row r="145" ht="18.75" customHeight="1">
      <c r="A145" s="111" t="s">
        <v>1590</v>
      </c>
      <c r="B145" s="111" t="s">
        <v>1591</v>
      </c>
      <c r="C145" s="111" t="s">
        <v>1592</v>
      </c>
      <c r="D145" s="111" t="s">
        <v>1593</v>
      </c>
      <c r="E145" s="111" t="s">
        <v>1594</v>
      </c>
      <c r="F145" s="112">
        <v>300.0</v>
      </c>
      <c r="G145" s="111" t="s">
        <v>1961</v>
      </c>
      <c r="H145" s="111" t="s">
        <v>230</v>
      </c>
      <c r="I145" s="111" t="s">
        <v>1962</v>
      </c>
      <c r="J145" s="111" t="s">
        <v>1174</v>
      </c>
      <c r="K145" s="19" t="str">
        <f>IF(COUNTIF(bystudent!B:B, G145) &gt; 0, "yes", "no")</f>
        <v>yes</v>
      </c>
    </row>
    <row r="146" ht="18.75" customHeight="1">
      <c r="A146" s="111" t="s">
        <v>1590</v>
      </c>
      <c r="B146" s="111" t="s">
        <v>1591</v>
      </c>
      <c r="C146" s="111" t="s">
        <v>1592</v>
      </c>
      <c r="D146" s="111" t="s">
        <v>1593</v>
      </c>
      <c r="E146" s="111" t="s">
        <v>1594</v>
      </c>
      <c r="F146" s="112">
        <v>300.0</v>
      </c>
      <c r="G146" s="111" t="s">
        <v>1963</v>
      </c>
      <c r="H146" s="111" t="s">
        <v>543</v>
      </c>
      <c r="I146" s="111" t="s">
        <v>1964</v>
      </c>
      <c r="J146" s="111" t="s">
        <v>545</v>
      </c>
      <c r="K146" s="19" t="str">
        <f>IF(COUNTIF(bystudent!B:B, G146) &gt; 0, "yes", "no")</f>
        <v>yes</v>
      </c>
    </row>
    <row r="147" ht="18.75" customHeight="1">
      <c r="A147" s="111" t="s">
        <v>1590</v>
      </c>
      <c r="B147" s="111" t="s">
        <v>1591</v>
      </c>
      <c r="C147" s="111" t="s">
        <v>1592</v>
      </c>
      <c r="D147" s="111" t="s">
        <v>1593</v>
      </c>
      <c r="E147" s="111" t="s">
        <v>1594</v>
      </c>
      <c r="F147" s="112">
        <v>300.0</v>
      </c>
      <c r="G147" s="111" t="s">
        <v>1967</v>
      </c>
      <c r="H147" s="111" t="s">
        <v>1384</v>
      </c>
      <c r="I147" s="111" t="s">
        <v>1968</v>
      </c>
      <c r="J147" s="111" t="s">
        <v>1383</v>
      </c>
      <c r="K147" s="19" t="str">
        <f>IF(COUNTIF(bystudent!B:B, G147) &gt; 0, "yes", "no")</f>
        <v>yes</v>
      </c>
    </row>
    <row r="148" ht="18.75" customHeight="1">
      <c r="A148" s="111" t="s">
        <v>1590</v>
      </c>
      <c r="B148" s="111" t="s">
        <v>1591</v>
      </c>
      <c r="C148" s="111" t="s">
        <v>1592</v>
      </c>
      <c r="D148" s="111" t="s">
        <v>1593</v>
      </c>
      <c r="E148" s="111" t="s">
        <v>1594</v>
      </c>
      <c r="F148" s="112">
        <v>300.0</v>
      </c>
      <c r="G148" s="111" t="s">
        <v>1969</v>
      </c>
      <c r="H148" s="111" t="s">
        <v>1476</v>
      </c>
      <c r="I148" s="111" t="s">
        <v>1970</v>
      </c>
      <c r="J148" s="111" t="s">
        <v>1481</v>
      </c>
      <c r="K148" s="19" t="str">
        <f>IF(COUNTIF(bystudent!B:B, G148) &gt; 0, "yes", "no")</f>
        <v>yes</v>
      </c>
    </row>
    <row r="149" ht="18.75" customHeight="1">
      <c r="A149" s="111" t="s">
        <v>1590</v>
      </c>
      <c r="B149" s="111" t="s">
        <v>1591</v>
      </c>
      <c r="C149" s="111" t="s">
        <v>1592</v>
      </c>
      <c r="D149" s="111" t="s">
        <v>1593</v>
      </c>
      <c r="E149" s="111" t="s">
        <v>1594</v>
      </c>
      <c r="F149" s="112">
        <v>300.0</v>
      </c>
      <c r="G149" s="111" t="s">
        <v>1971</v>
      </c>
      <c r="H149" s="111" t="s">
        <v>120</v>
      </c>
      <c r="I149" s="111" t="s">
        <v>1972</v>
      </c>
      <c r="J149" s="111" t="s">
        <v>823</v>
      </c>
      <c r="K149" s="19" t="str">
        <f>IF(COUNTIF(bystudent!B:B, G149) &gt; 0, "yes", "no")</f>
        <v>yes</v>
      </c>
    </row>
    <row r="150" ht="18.75" customHeight="1">
      <c r="A150" s="111" t="s">
        <v>1590</v>
      </c>
      <c r="B150" s="111" t="s">
        <v>1591</v>
      </c>
      <c r="C150" s="111" t="s">
        <v>1592</v>
      </c>
      <c r="D150" s="111" t="s">
        <v>1593</v>
      </c>
      <c r="E150" s="111" t="s">
        <v>1594</v>
      </c>
      <c r="F150" s="112">
        <v>300.0</v>
      </c>
      <c r="G150" s="111" t="s">
        <v>1973</v>
      </c>
      <c r="H150" s="111" t="s">
        <v>373</v>
      </c>
      <c r="I150" s="111" t="s">
        <v>1974</v>
      </c>
      <c r="J150" s="111" t="s">
        <v>562</v>
      </c>
      <c r="K150" s="19" t="str">
        <f>IF(COUNTIF(bystudent!B:B, G150) &gt; 0, "yes", "no")</f>
        <v>yes</v>
      </c>
    </row>
    <row r="151" ht="18.75" customHeight="1">
      <c r="A151" s="111" t="s">
        <v>1590</v>
      </c>
      <c r="B151" s="111" t="s">
        <v>1591</v>
      </c>
      <c r="C151" s="111" t="s">
        <v>1592</v>
      </c>
      <c r="D151" s="111" t="s">
        <v>1593</v>
      </c>
      <c r="E151" s="111" t="s">
        <v>1594</v>
      </c>
      <c r="F151" s="112">
        <v>300.0</v>
      </c>
      <c r="G151" s="111" t="s">
        <v>1975</v>
      </c>
      <c r="H151" s="111" t="s">
        <v>1271</v>
      </c>
      <c r="I151" s="111" t="s">
        <v>1976</v>
      </c>
      <c r="J151" s="111" t="s">
        <v>1270</v>
      </c>
      <c r="K151" s="19" t="str">
        <f>IF(COUNTIF(bystudent!B:B, G151) &gt; 0, "yes", "no")</f>
        <v>yes</v>
      </c>
    </row>
    <row r="152" ht="18.75" customHeight="1">
      <c r="A152" s="111" t="s">
        <v>1590</v>
      </c>
      <c r="B152" s="111" t="s">
        <v>1591</v>
      </c>
      <c r="C152" s="111" t="s">
        <v>1592</v>
      </c>
      <c r="D152" s="111" t="s">
        <v>1593</v>
      </c>
      <c r="E152" s="111" t="s">
        <v>1594</v>
      </c>
      <c r="F152" s="112">
        <v>300.0</v>
      </c>
      <c r="G152" s="111" t="s">
        <v>1977</v>
      </c>
      <c r="H152" s="111" t="s">
        <v>287</v>
      </c>
      <c r="I152" s="111" t="s">
        <v>1978</v>
      </c>
      <c r="J152" s="111" t="s">
        <v>1138</v>
      </c>
      <c r="K152" s="19" t="str">
        <f>IF(COUNTIF(bystudent!B:B, G152) &gt; 0, "yes", "no")</f>
        <v>yes</v>
      </c>
    </row>
    <row r="153" ht="18.75" customHeight="1">
      <c r="A153" s="111" t="s">
        <v>1590</v>
      </c>
      <c r="B153" s="111" t="s">
        <v>1591</v>
      </c>
      <c r="C153" s="111" t="s">
        <v>1592</v>
      </c>
      <c r="D153" s="111" t="s">
        <v>1593</v>
      </c>
      <c r="E153" s="111" t="s">
        <v>1594</v>
      </c>
      <c r="F153" s="112">
        <v>300.0</v>
      </c>
      <c r="G153" s="111" t="s">
        <v>1979</v>
      </c>
      <c r="H153" s="111" t="s">
        <v>242</v>
      </c>
      <c r="I153" s="111" t="s">
        <v>1980</v>
      </c>
      <c r="J153" s="111" t="s">
        <v>1210</v>
      </c>
      <c r="K153" s="19" t="str">
        <f>IF(COUNTIF(bystudent!B:B, G153) &gt; 0, "yes", "no")</f>
        <v>yes</v>
      </c>
    </row>
    <row r="154" ht="18.75" customHeight="1">
      <c r="A154" s="111" t="s">
        <v>1590</v>
      </c>
      <c r="B154" s="111" t="s">
        <v>1591</v>
      </c>
      <c r="C154" s="111" t="s">
        <v>1592</v>
      </c>
      <c r="D154" s="111" t="s">
        <v>1593</v>
      </c>
      <c r="E154" s="111" t="s">
        <v>1594</v>
      </c>
      <c r="F154" s="112">
        <v>300.0</v>
      </c>
      <c r="G154" s="111" t="s">
        <v>1981</v>
      </c>
      <c r="H154" s="111" t="s">
        <v>1196</v>
      </c>
      <c r="I154" s="111" t="s">
        <v>1982</v>
      </c>
      <c r="J154" s="111" t="s">
        <v>1198</v>
      </c>
      <c r="K154" s="19" t="str">
        <f>IF(COUNTIF(bystudent!B:B, G154) &gt; 0, "yes", "no")</f>
        <v>yes</v>
      </c>
    </row>
    <row r="155" ht="18.75" customHeight="1">
      <c r="A155" s="111" t="s">
        <v>1590</v>
      </c>
      <c r="B155" s="111" t="s">
        <v>1591</v>
      </c>
      <c r="C155" s="111" t="s">
        <v>1592</v>
      </c>
      <c r="D155" s="111" t="s">
        <v>1593</v>
      </c>
      <c r="E155" s="111" t="s">
        <v>1594</v>
      </c>
      <c r="F155" s="112">
        <v>300.0</v>
      </c>
      <c r="G155" s="111" t="s">
        <v>1983</v>
      </c>
      <c r="H155" s="111" t="s">
        <v>160</v>
      </c>
      <c r="I155" s="111" t="s">
        <v>1984</v>
      </c>
      <c r="J155" s="111" t="s">
        <v>706</v>
      </c>
      <c r="K155" s="19" t="str">
        <f>IF(COUNTIF(bystudent!B:B, G155) &gt; 0, "yes", "no")</f>
        <v>yes</v>
      </c>
    </row>
    <row r="156" ht="18.75" customHeight="1">
      <c r="A156" s="111" t="s">
        <v>1590</v>
      </c>
      <c r="B156" s="111" t="s">
        <v>1591</v>
      </c>
      <c r="C156" s="111" t="s">
        <v>1592</v>
      </c>
      <c r="D156" s="111" t="s">
        <v>1593</v>
      </c>
      <c r="E156" s="111" t="s">
        <v>1594</v>
      </c>
      <c r="F156" s="112">
        <v>300.0</v>
      </c>
      <c r="G156" s="111" t="s">
        <v>1985</v>
      </c>
      <c r="H156" s="111" t="s">
        <v>249</v>
      </c>
      <c r="I156" s="111" t="s">
        <v>1986</v>
      </c>
      <c r="J156" s="111" t="s">
        <v>1245</v>
      </c>
      <c r="K156" s="19" t="str">
        <f>IF(COUNTIF(bystudent!B:B, G156) &gt; 0, "yes", "no")</f>
        <v>yes</v>
      </c>
    </row>
    <row r="157" ht="18.75" customHeight="1">
      <c r="A157" s="111" t="s">
        <v>1590</v>
      </c>
      <c r="B157" s="111" t="s">
        <v>1591</v>
      </c>
      <c r="C157" s="111" t="s">
        <v>1592</v>
      </c>
      <c r="D157" s="111" t="s">
        <v>1593</v>
      </c>
      <c r="E157" s="111" t="s">
        <v>1594</v>
      </c>
      <c r="F157" s="112">
        <v>300.0</v>
      </c>
      <c r="G157" s="111" t="s">
        <v>1987</v>
      </c>
      <c r="H157" s="111" t="s">
        <v>332</v>
      </c>
      <c r="I157" s="111" t="s">
        <v>1988</v>
      </c>
      <c r="J157" s="111" t="s">
        <v>484</v>
      </c>
      <c r="K157" s="19" t="str">
        <f>IF(COUNTIF(bystudent!B:B, G157) &gt; 0, "yes", "no")</f>
        <v>yes</v>
      </c>
    </row>
    <row r="158" ht="18.75" customHeight="1">
      <c r="A158" s="111" t="s">
        <v>1590</v>
      </c>
      <c r="B158" s="111" t="s">
        <v>1591</v>
      </c>
      <c r="C158" s="111" t="s">
        <v>1592</v>
      </c>
      <c r="D158" s="111" t="s">
        <v>1593</v>
      </c>
      <c r="E158" s="111" t="s">
        <v>1594</v>
      </c>
      <c r="F158" s="112">
        <v>300.0</v>
      </c>
      <c r="G158" s="111" t="s">
        <v>1989</v>
      </c>
      <c r="H158" s="111" t="s">
        <v>747</v>
      </c>
      <c r="I158" s="111" t="s">
        <v>1990</v>
      </c>
      <c r="J158" s="111" t="s">
        <v>749</v>
      </c>
      <c r="K158" s="19" t="str">
        <f>IF(COUNTIF(bystudent!B:B, G158) &gt; 0, "yes", "no")</f>
        <v>yes</v>
      </c>
    </row>
    <row r="159" ht="18.75" customHeight="1">
      <c r="A159" s="111" t="s">
        <v>1590</v>
      </c>
      <c r="B159" s="111" t="s">
        <v>1591</v>
      </c>
      <c r="C159" s="111" t="s">
        <v>1592</v>
      </c>
      <c r="D159" s="111" t="s">
        <v>1593</v>
      </c>
      <c r="E159" s="111" t="s">
        <v>1594</v>
      </c>
      <c r="F159" s="112">
        <v>300.0</v>
      </c>
      <c r="G159" s="111" t="s">
        <v>1991</v>
      </c>
      <c r="H159" s="111" t="s">
        <v>213</v>
      </c>
      <c r="I159" s="111" t="s">
        <v>1992</v>
      </c>
      <c r="J159" s="111" t="s">
        <v>957</v>
      </c>
      <c r="K159" s="19" t="str">
        <f>IF(COUNTIF(bystudent!B:B, G159) &gt; 0, "yes", "no")</f>
        <v>yes</v>
      </c>
    </row>
    <row r="160" ht="18.75" customHeight="1">
      <c r="A160" s="111" t="s">
        <v>1590</v>
      </c>
      <c r="B160" s="111" t="s">
        <v>1591</v>
      </c>
      <c r="C160" s="111" t="s">
        <v>1592</v>
      </c>
      <c r="D160" s="111" t="s">
        <v>1593</v>
      </c>
      <c r="E160" s="111" t="s">
        <v>1594</v>
      </c>
      <c r="F160" s="112">
        <v>300.0</v>
      </c>
      <c r="G160" s="111" t="s">
        <v>1993</v>
      </c>
      <c r="H160" s="111" t="s">
        <v>554</v>
      </c>
      <c r="I160" s="111" t="s">
        <v>1994</v>
      </c>
      <c r="J160" s="111" t="s">
        <v>559</v>
      </c>
      <c r="K160" s="19" t="str">
        <f>IF(COUNTIF(bystudent!B:B, G160) &gt; 0, "yes", "no")</f>
        <v>yes</v>
      </c>
    </row>
    <row r="161" ht="18.75" customHeight="1">
      <c r="A161" s="111" t="s">
        <v>1590</v>
      </c>
      <c r="B161" s="111" t="s">
        <v>1591</v>
      </c>
      <c r="C161" s="111" t="s">
        <v>1592</v>
      </c>
      <c r="D161" s="111" t="s">
        <v>1593</v>
      </c>
      <c r="E161" s="111" t="s">
        <v>1594</v>
      </c>
      <c r="F161" s="112">
        <v>300.0</v>
      </c>
      <c r="G161" s="111" t="s">
        <v>1995</v>
      </c>
      <c r="H161" s="111" t="s">
        <v>978</v>
      </c>
      <c r="I161" s="111" t="s">
        <v>1996</v>
      </c>
      <c r="J161" s="111" t="s">
        <v>977</v>
      </c>
      <c r="K161" s="19" t="str">
        <f>IF(COUNTIF(bystudent!B:B, G161) &gt; 0, "yes", "no")</f>
        <v>yes</v>
      </c>
    </row>
    <row r="162" ht="18.75" customHeight="1">
      <c r="A162" s="111" t="s">
        <v>1590</v>
      </c>
      <c r="B162" s="111" t="s">
        <v>1591</v>
      </c>
      <c r="C162" s="111" t="s">
        <v>1592</v>
      </c>
      <c r="D162" s="111" t="s">
        <v>1593</v>
      </c>
      <c r="E162" s="111" t="s">
        <v>1594</v>
      </c>
      <c r="F162" s="112">
        <v>300.0</v>
      </c>
      <c r="G162" s="111" t="s">
        <v>1997</v>
      </c>
      <c r="H162" s="111" t="s">
        <v>1166</v>
      </c>
      <c r="I162" s="111" t="s">
        <v>1998</v>
      </c>
      <c r="J162" s="111" t="s">
        <v>1165</v>
      </c>
      <c r="K162" s="19" t="str">
        <f>IF(COUNTIF(bystudent!B:B, G162) &gt; 0, "yes", "no")</f>
        <v>yes</v>
      </c>
    </row>
    <row r="163" ht="18.75" customHeight="1">
      <c r="A163" s="111" t="s">
        <v>1590</v>
      </c>
      <c r="B163" s="111" t="s">
        <v>1591</v>
      </c>
      <c r="C163" s="111" t="s">
        <v>1592</v>
      </c>
      <c r="D163" s="111" t="s">
        <v>1593</v>
      </c>
      <c r="E163" s="111" t="s">
        <v>1594</v>
      </c>
      <c r="F163" s="112">
        <v>300.0</v>
      </c>
      <c r="G163" s="111" t="s">
        <v>1999</v>
      </c>
      <c r="H163" s="111" t="s">
        <v>961</v>
      </c>
      <c r="I163" s="111" t="s">
        <v>2000</v>
      </c>
      <c r="J163" s="111" t="s">
        <v>960</v>
      </c>
      <c r="K163" s="19" t="str">
        <f>IF(COUNTIF(bystudent!B:B, G163) &gt; 0, "yes", "no")</f>
        <v>yes</v>
      </c>
    </row>
    <row r="164" ht="18.75" customHeight="1">
      <c r="A164" s="111" t="s">
        <v>1590</v>
      </c>
      <c r="B164" s="111" t="s">
        <v>1591</v>
      </c>
      <c r="C164" s="111" t="s">
        <v>1592</v>
      </c>
      <c r="D164" s="111" t="s">
        <v>1593</v>
      </c>
      <c r="E164" s="111" t="s">
        <v>1594</v>
      </c>
      <c r="F164" s="112">
        <v>300.0</v>
      </c>
      <c r="G164" s="111" t="s">
        <v>2001</v>
      </c>
      <c r="H164" s="111" t="s">
        <v>642</v>
      </c>
      <c r="I164" s="111" t="s">
        <v>2002</v>
      </c>
      <c r="J164" s="111" t="s">
        <v>645</v>
      </c>
      <c r="K164" s="19" t="str">
        <f>IF(COUNTIF(bystudent!B:B, G164) &gt; 0, "yes", "no")</f>
        <v>yes</v>
      </c>
    </row>
    <row r="165" ht="18.75" customHeight="1">
      <c r="A165" s="111" t="s">
        <v>1590</v>
      </c>
      <c r="B165" s="111" t="s">
        <v>1591</v>
      </c>
      <c r="C165" s="111" t="s">
        <v>1592</v>
      </c>
      <c r="D165" s="111" t="s">
        <v>1593</v>
      </c>
      <c r="E165" s="111" t="s">
        <v>1594</v>
      </c>
      <c r="F165" s="112">
        <v>300.0</v>
      </c>
      <c r="G165" s="111" t="s">
        <v>2003</v>
      </c>
      <c r="H165" s="111" t="s">
        <v>155</v>
      </c>
      <c r="I165" s="111" t="s">
        <v>2004</v>
      </c>
      <c r="J165" s="111" t="s">
        <v>525</v>
      </c>
      <c r="K165" s="19" t="str">
        <f>IF(COUNTIF(bystudent!B:B, G165) &gt; 0, "yes", "no")</f>
        <v>yes</v>
      </c>
    </row>
    <row r="166" ht="18.75" customHeight="1">
      <c r="A166" s="111" t="s">
        <v>1590</v>
      </c>
      <c r="B166" s="111" t="s">
        <v>1591</v>
      </c>
      <c r="C166" s="111" t="s">
        <v>1592</v>
      </c>
      <c r="D166" s="111" t="s">
        <v>1593</v>
      </c>
      <c r="E166" s="111" t="s">
        <v>1594</v>
      </c>
      <c r="F166" s="112">
        <v>300.0</v>
      </c>
      <c r="G166" s="111" t="s">
        <v>2005</v>
      </c>
      <c r="H166" s="111" t="s">
        <v>311</v>
      </c>
      <c r="I166" s="111" t="s">
        <v>2006</v>
      </c>
      <c r="J166" s="111" t="s">
        <v>1186</v>
      </c>
      <c r="K166" s="19" t="str">
        <f>IF(COUNTIF(bystudent!B:B, G166) &gt; 0, "yes", "no")</f>
        <v>yes</v>
      </c>
    </row>
    <row r="167" ht="18.75" customHeight="1">
      <c r="A167" s="111" t="s">
        <v>1590</v>
      </c>
      <c r="B167" s="111" t="s">
        <v>1591</v>
      </c>
      <c r="C167" s="111" t="s">
        <v>1592</v>
      </c>
      <c r="D167" s="111" t="s">
        <v>1593</v>
      </c>
      <c r="E167" s="111" t="s">
        <v>1594</v>
      </c>
      <c r="F167" s="112">
        <v>300.0</v>
      </c>
      <c r="G167" s="111" t="s">
        <v>2007</v>
      </c>
      <c r="H167" s="111" t="s">
        <v>441</v>
      </c>
      <c r="I167" s="111" t="s">
        <v>2008</v>
      </c>
      <c r="J167" s="111" t="s">
        <v>440</v>
      </c>
      <c r="K167" s="19" t="str">
        <f>IF(COUNTIF(bystudent!B:B, G167) &gt; 0, "yes", "no")</f>
        <v>yes</v>
      </c>
    </row>
    <row r="168" ht="18.75" customHeight="1">
      <c r="A168" s="111" t="s">
        <v>1590</v>
      </c>
      <c r="B168" s="111" t="s">
        <v>1591</v>
      </c>
      <c r="C168" s="111" t="s">
        <v>1592</v>
      </c>
      <c r="D168" s="111" t="s">
        <v>1593</v>
      </c>
      <c r="E168" s="111" t="s">
        <v>1594</v>
      </c>
      <c r="F168" s="112">
        <v>300.0</v>
      </c>
      <c r="G168" s="111" t="s">
        <v>2009</v>
      </c>
      <c r="H168" s="111" t="s">
        <v>611</v>
      </c>
      <c r="I168" s="111" t="s">
        <v>2010</v>
      </c>
      <c r="J168" s="111" t="s">
        <v>610</v>
      </c>
      <c r="K168" s="19" t="str">
        <f>IF(COUNTIF(bystudent!B:B, G168) &gt; 0, "yes", "no")</f>
        <v>yes</v>
      </c>
    </row>
    <row r="169" ht="18.75" customHeight="1">
      <c r="A169" s="111" t="s">
        <v>1590</v>
      </c>
      <c r="B169" s="111" t="s">
        <v>1591</v>
      </c>
      <c r="C169" s="111" t="s">
        <v>1592</v>
      </c>
      <c r="D169" s="111" t="s">
        <v>1593</v>
      </c>
      <c r="E169" s="111" t="s">
        <v>1594</v>
      </c>
      <c r="F169" s="112">
        <v>300.0</v>
      </c>
      <c r="G169" s="111" t="s">
        <v>2011</v>
      </c>
      <c r="H169" s="111" t="s">
        <v>243</v>
      </c>
      <c r="I169" s="111" t="s">
        <v>2012</v>
      </c>
      <c r="J169" s="111" t="s">
        <v>1213</v>
      </c>
      <c r="K169" s="19" t="str">
        <f>IF(COUNTIF(bystudent!B:B, G169) &gt; 0, "yes", "no")</f>
        <v>yes</v>
      </c>
    </row>
    <row r="170" ht="18.75" customHeight="1">
      <c r="A170" s="111" t="s">
        <v>1590</v>
      </c>
      <c r="B170" s="111" t="s">
        <v>1591</v>
      </c>
      <c r="C170" s="111" t="s">
        <v>1592</v>
      </c>
      <c r="D170" s="111" t="s">
        <v>1593</v>
      </c>
      <c r="E170" s="111" t="s">
        <v>1594</v>
      </c>
      <c r="F170" s="112">
        <v>300.0</v>
      </c>
      <c r="G170" s="111" t="s">
        <v>2013</v>
      </c>
      <c r="H170" s="111" t="s">
        <v>139</v>
      </c>
      <c r="I170" s="111" t="s">
        <v>2014</v>
      </c>
      <c r="J170" s="111" t="s">
        <v>761</v>
      </c>
      <c r="K170" s="19" t="str">
        <f>IF(COUNTIF(bystudent!B:B, G170) &gt; 0, "yes", "no")</f>
        <v>yes</v>
      </c>
    </row>
    <row r="171" ht="18.75" customHeight="1">
      <c r="A171" s="111" t="s">
        <v>1590</v>
      </c>
      <c r="B171" s="111" t="s">
        <v>1591</v>
      </c>
      <c r="C171" s="111" t="s">
        <v>1592</v>
      </c>
      <c r="D171" s="111" t="s">
        <v>1593</v>
      </c>
      <c r="E171" s="111" t="s">
        <v>1594</v>
      </c>
      <c r="F171" s="112">
        <v>300.0</v>
      </c>
      <c r="G171" s="111" t="s">
        <v>2015</v>
      </c>
      <c r="H171" s="111" t="s">
        <v>461</v>
      </c>
      <c r="I171" s="111" t="s">
        <v>2016</v>
      </c>
      <c r="J171" s="111" t="s">
        <v>460</v>
      </c>
      <c r="K171" s="19" t="str">
        <f>IF(COUNTIF(bystudent!B:B, G171) &gt; 0, "yes", "no")</f>
        <v>yes</v>
      </c>
    </row>
    <row r="172" ht="18.75" customHeight="1">
      <c r="A172" s="111" t="s">
        <v>1590</v>
      </c>
      <c r="B172" s="111" t="s">
        <v>1591</v>
      </c>
      <c r="C172" s="111" t="s">
        <v>1592</v>
      </c>
      <c r="D172" s="111" t="s">
        <v>1593</v>
      </c>
      <c r="E172" s="111" t="s">
        <v>1594</v>
      </c>
      <c r="F172" s="112">
        <v>300.0</v>
      </c>
      <c r="G172" s="111" t="s">
        <v>2017</v>
      </c>
      <c r="H172" s="111" t="s">
        <v>854</v>
      </c>
      <c r="I172" s="111" t="s">
        <v>2018</v>
      </c>
      <c r="J172" s="111" t="s">
        <v>853</v>
      </c>
      <c r="K172" s="19" t="str">
        <f>IF(COUNTIF(bystudent!B:B, G172) &gt; 0, "yes", "no")</f>
        <v>yes</v>
      </c>
    </row>
    <row r="173" ht="18.75" customHeight="1">
      <c r="A173" s="111" t="s">
        <v>1590</v>
      </c>
      <c r="B173" s="111" t="s">
        <v>1591</v>
      </c>
      <c r="C173" s="111" t="s">
        <v>1592</v>
      </c>
      <c r="D173" s="111" t="s">
        <v>1593</v>
      </c>
      <c r="E173" s="111" t="s">
        <v>1594</v>
      </c>
      <c r="F173" s="112">
        <v>300.0</v>
      </c>
      <c r="G173" s="111" t="s">
        <v>2019</v>
      </c>
      <c r="H173" s="111" t="s">
        <v>144</v>
      </c>
      <c r="I173" s="111" t="s">
        <v>2020</v>
      </c>
      <c r="J173" s="111" t="s">
        <v>1068</v>
      </c>
      <c r="K173" s="19" t="str">
        <f>IF(COUNTIF(bystudent!B:B, G173) &gt; 0, "yes", "no")</f>
        <v>yes</v>
      </c>
    </row>
    <row r="174" ht="18.75" customHeight="1">
      <c r="A174" s="111" t="s">
        <v>1590</v>
      </c>
      <c r="B174" s="111" t="s">
        <v>1591</v>
      </c>
      <c r="C174" s="111" t="s">
        <v>1592</v>
      </c>
      <c r="D174" s="111" t="s">
        <v>1593</v>
      </c>
      <c r="E174" s="111" t="s">
        <v>1594</v>
      </c>
      <c r="F174" s="112">
        <v>300.0</v>
      </c>
      <c r="G174" s="111" t="s">
        <v>2021</v>
      </c>
      <c r="H174" s="111" t="s">
        <v>202</v>
      </c>
      <c r="I174" s="111" t="s">
        <v>2022</v>
      </c>
      <c r="J174" s="111" t="s">
        <v>1249</v>
      </c>
      <c r="K174" s="19" t="str">
        <f>IF(COUNTIF(bystudent!B:B, G174) &gt; 0, "yes", "no")</f>
        <v>yes</v>
      </c>
    </row>
    <row r="175" ht="18.75" customHeight="1">
      <c r="A175" s="111" t="s">
        <v>1590</v>
      </c>
      <c r="B175" s="111" t="s">
        <v>1591</v>
      </c>
      <c r="C175" s="111" t="s">
        <v>1592</v>
      </c>
      <c r="D175" s="111" t="s">
        <v>1593</v>
      </c>
      <c r="E175" s="111" t="s">
        <v>1594</v>
      </c>
      <c r="F175" s="112">
        <v>300.0</v>
      </c>
      <c r="G175" s="111" t="s">
        <v>2023</v>
      </c>
      <c r="H175" s="111" t="s">
        <v>585</v>
      </c>
      <c r="I175" s="111" t="s">
        <v>2024</v>
      </c>
      <c r="J175" s="111" t="s">
        <v>584</v>
      </c>
      <c r="K175" s="19" t="str">
        <f>IF(COUNTIF(bystudent!B:B, G175) &gt; 0, "yes", "no")</f>
        <v>yes</v>
      </c>
    </row>
    <row r="176" ht="18.75" customHeight="1">
      <c r="A176" s="111" t="s">
        <v>1590</v>
      </c>
      <c r="B176" s="111" t="s">
        <v>1591</v>
      </c>
      <c r="C176" s="111" t="s">
        <v>1592</v>
      </c>
      <c r="D176" s="111" t="s">
        <v>1593</v>
      </c>
      <c r="E176" s="111" t="s">
        <v>1594</v>
      </c>
      <c r="F176" s="112">
        <v>300.0</v>
      </c>
      <c r="G176" s="111" t="s">
        <v>2025</v>
      </c>
      <c r="H176" s="111" t="s">
        <v>229</v>
      </c>
      <c r="I176" s="111" t="s">
        <v>2026</v>
      </c>
      <c r="J176" s="111" t="s">
        <v>1147</v>
      </c>
      <c r="K176" s="19" t="str">
        <f>IF(COUNTIF(bystudent!B:B, G176) &gt; 0, "yes", "no")</f>
        <v>yes</v>
      </c>
    </row>
    <row r="177" ht="18.75" customHeight="1">
      <c r="A177" s="111" t="s">
        <v>1590</v>
      </c>
      <c r="B177" s="111" t="s">
        <v>1591</v>
      </c>
      <c r="C177" s="111" t="s">
        <v>1592</v>
      </c>
      <c r="D177" s="111" t="s">
        <v>1593</v>
      </c>
      <c r="E177" s="111" t="s">
        <v>1594</v>
      </c>
      <c r="F177" s="112">
        <v>300.0</v>
      </c>
      <c r="G177" s="111" t="s">
        <v>2027</v>
      </c>
      <c r="H177" s="111" t="s">
        <v>187</v>
      </c>
      <c r="I177" s="111" t="s">
        <v>2028</v>
      </c>
      <c r="J177" s="111" t="s">
        <v>967</v>
      </c>
      <c r="K177" s="19" t="str">
        <f>IF(COUNTIF(bystudent!B:B, G177) &gt; 0, "yes", "no")</f>
        <v>yes</v>
      </c>
    </row>
    <row r="178" ht="18.75" customHeight="1">
      <c r="A178" s="111" t="s">
        <v>1590</v>
      </c>
      <c r="B178" s="111" t="s">
        <v>1591</v>
      </c>
      <c r="C178" s="111" t="s">
        <v>1592</v>
      </c>
      <c r="D178" s="111" t="s">
        <v>1593</v>
      </c>
      <c r="E178" s="111" t="s">
        <v>1594</v>
      </c>
      <c r="F178" s="112">
        <v>300.0</v>
      </c>
      <c r="G178" s="111" t="s">
        <v>2029</v>
      </c>
      <c r="H178" s="111" t="s">
        <v>467</v>
      </c>
      <c r="I178" s="111" t="s">
        <v>2030</v>
      </c>
      <c r="J178" s="111" t="s">
        <v>466</v>
      </c>
      <c r="K178" s="19" t="str">
        <f>IF(COUNTIF(bystudent!B:B, G178) &gt; 0, "yes", "no")</f>
        <v>yes</v>
      </c>
    </row>
    <row r="179" ht="18.75" customHeight="1">
      <c r="A179" s="111" t="s">
        <v>1590</v>
      </c>
      <c r="B179" s="111" t="s">
        <v>1591</v>
      </c>
      <c r="C179" s="111" t="s">
        <v>1592</v>
      </c>
      <c r="D179" s="111" t="s">
        <v>1593</v>
      </c>
      <c r="E179" s="111" t="s">
        <v>1594</v>
      </c>
      <c r="F179" s="112">
        <v>300.0</v>
      </c>
      <c r="G179" s="111" t="s">
        <v>2032</v>
      </c>
      <c r="H179" s="111" t="s">
        <v>333</v>
      </c>
      <c r="I179" s="111" t="s">
        <v>2034</v>
      </c>
      <c r="J179" s="111" t="s">
        <v>530</v>
      </c>
      <c r="K179" s="19" t="str">
        <f>IF(COUNTIF(bystudent!B:B, G179) &gt; 0, "yes", "no")</f>
        <v>yes</v>
      </c>
    </row>
    <row r="180" ht="18.75" customHeight="1">
      <c r="A180" s="111" t="s">
        <v>1590</v>
      </c>
      <c r="B180" s="111" t="s">
        <v>1591</v>
      </c>
      <c r="C180" s="111" t="s">
        <v>1592</v>
      </c>
      <c r="D180" s="111" t="s">
        <v>1593</v>
      </c>
      <c r="E180" s="111" t="s">
        <v>1594</v>
      </c>
      <c r="F180" s="112">
        <v>300.0</v>
      </c>
      <c r="G180" s="111" t="s">
        <v>2035</v>
      </c>
      <c r="H180" s="111" t="s">
        <v>556</v>
      </c>
      <c r="I180" s="111" t="s">
        <v>2036</v>
      </c>
      <c r="J180" s="111" t="s">
        <v>555</v>
      </c>
      <c r="K180" s="19" t="str">
        <f>IF(COUNTIF(bystudent!B:B, G180) &gt; 0, "yes", "no")</f>
        <v>yes</v>
      </c>
    </row>
    <row r="181" ht="18.75" customHeight="1">
      <c r="A181" s="111" t="s">
        <v>1590</v>
      </c>
      <c r="B181" s="111" t="s">
        <v>1591</v>
      </c>
      <c r="C181" s="111" t="s">
        <v>1592</v>
      </c>
      <c r="D181" s="111" t="s">
        <v>1593</v>
      </c>
      <c r="E181" s="111" t="s">
        <v>1594</v>
      </c>
      <c r="F181" s="112">
        <v>300.0</v>
      </c>
      <c r="G181" s="111" t="s">
        <v>2037</v>
      </c>
      <c r="H181" s="111" t="s">
        <v>594</v>
      </c>
      <c r="I181" s="111" t="s">
        <v>2038</v>
      </c>
      <c r="J181" s="111" t="s">
        <v>593</v>
      </c>
      <c r="K181" s="19" t="str">
        <f>IF(COUNTIF(bystudent!B:B, G181) &gt; 0, "yes", "no")</f>
        <v>yes</v>
      </c>
    </row>
    <row r="182" ht="18.75" customHeight="1">
      <c r="A182" s="111" t="s">
        <v>1590</v>
      </c>
      <c r="B182" s="111" t="s">
        <v>1591</v>
      </c>
      <c r="C182" s="111" t="s">
        <v>1592</v>
      </c>
      <c r="D182" s="111" t="s">
        <v>1593</v>
      </c>
      <c r="E182" s="111" t="s">
        <v>1594</v>
      </c>
      <c r="F182" s="112">
        <v>300.0</v>
      </c>
      <c r="G182" s="111" t="s">
        <v>2039</v>
      </c>
      <c r="H182" s="111" t="s">
        <v>357</v>
      </c>
      <c r="I182" s="111" t="s">
        <v>2040</v>
      </c>
      <c r="J182" s="111" t="s">
        <v>1461</v>
      </c>
      <c r="K182" s="19" t="str">
        <f>IF(COUNTIF(bystudent!B:B, G182) &gt; 0, "yes", "no")</f>
        <v>yes</v>
      </c>
    </row>
    <row r="183" ht="18.75" customHeight="1">
      <c r="A183" s="111" t="s">
        <v>1590</v>
      </c>
      <c r="B183" s="111" t="s">
        <v>1591</v>
      </c>
      <c r="C183" s="111" t="s">
        <v>1592</v>
      </c>
      <c r="D183" s="111" t="s">
        <v>1593</v>
      </c>
      <c r="E183" s="111" t="s">
        <v>1594</v>
      </c>
      <c r="F183" s="112">
        <v>300.0</v>
      </c>
      <c r="G183" s="111" t="s">
        <v>2041</v>
      </c>
      <c r="H183" s="111" t="s">
        <v>1332</v>
      </c>
      <c r="I183" s="111" t="s">
        <v>2042</v>
      </c>
      <c r="J183" s="111" t="s">
        <v>1331</v>
      </c>
      <c r="K183" s="19" t="str">
        <f>IF(COUNTIF(bystudent!B:B, G183) &gt; 0, "yes", "no")</f>
        <v>yes</v>
      </c>
    </row>
    <row r="184" ht="18.75" customHeight="1">
      <c r="A184" s="111" t="s">
        <v>1590</v>
      </c>
      <c r="B184" s="111" t="s">
        <v>1591</v>
      </c>
      <c r="C184" s="111" t="s">
        <v>1592</v>
      </c>
      <c r="D184" s="111" t="s">
        <v>1593</v>
      </c>
      <c r="E184" s="111" t="s">
        <v>1594</v>
      </c>
      <c r="F184" s="112">
        <v>300.0</v>
      </c>
      <c r="G184" s="111" t="s">
        <v>2043</v>
      </c>
      <c r="H184" s="111" t="s">
        <v>1414</v>
      </c>
      <c r="I184" s="111" t="s">
        <v>2044</v>
      </c>
      <c r="J184" s="111" t="s">
        <v>1413</v>
      </c>
      <c r="K184" s="19" t="str">
        <f>IF(COUNTIF(bystudent!B:B, G184) &gt; 0, "yes", "no")</f>
        <v>yes</v>
      </c>
    </row>
    <row r="185" ht="18.75" customHeight="1">
      <c r="A185" s="111" t="s">
        <v>1590</v>
      </c>
      <c r="B185" s="111" t="s">
        <v>1591</v>
      </c>
      <c r="C185" s="111" t="s">
        <v>1592</v>
      </c>
      <c r="D185" s="111" t="s">
        <v>1593</v>
      </c>
      <c r="E185" s="111" t="s">
        <v>1594</v>
      </c>
      <c r="F185" s="112">
        <v>300.0</v>
      </c>
      <c r="G185" s="111" t="s">
        <v>2045</v>
      </c>
      <c r="H185" s="111" t="s">
        <v>296</v>
      </c>
      <c r="I185" s="111" t="s">
        <v>2046</v>
      </c>
      <c r="J185" s="111" t="s">
        <v>1426</v>
      </c>
      <c r="K185" s="19" t="str">
        <f>IF(COUNTIF(bystudent!B:B, G185) &gt; 0, "yes", "no")</f>
        <v>yes</v>
      </c>
    </row>
    <row r="186" ht="18.75" customHeight="1">
      <c r="A186" s="111" t="s">
        <v>1590</v>
      </c>
      <c r="B186" s="111" t="s">
        <v>1591</v>
      </c>
      <c r="C186" s="111" t="s">
        <v>1592</v>
      </c>
      <c r="D186" s="111" t="s">
        <v>1593</v>
      </c>
      <c r="E186" s="111" t="s">
        <v>1594</v>
      </c>
      <c r="F186" s="112">
        <v>300.0</v>
      </c>
      <c r="G186" s="111" t="s">
        <v>2047</v>
      </c>
      <c r="H186" s="111" t="s">
        <v>183</v>
      </c>
      <c r="I186" s="111" t="s">
        <v>2048</v>
      </c>
      <c r="J186" s="111" t="s">
        <v>488</v>
      </c>
      <c r="K186" s="19" t="str">
        <f>IF(COUNTIF(bystudent!B:B, G186) &gt; 0, "yes", "no")</f>
        <v>yes</v>
      </c>
    </row>
    <row r="187" ht="18.75" customHeight="1">
      <c r="A187" s="111" t="s">
        <v>1590</v>
      </c>
      <c r="B187" s="111" t="s">
        <v>1591</v>
      </c>
      <c r="C187" s="111" t="s">
        <v>1592</v>
      </c>
      <c r="D187" s="111" t="s">
        <v>1593</v>
      </c>
      <c r="E187" s="111" t="s">
        <v>1594</v>
      </c>
      <c r="F187" s="112">
        <v>300.0</v>
      </c>
      <c r="G187" s="111" t="s">
        <v>2049</v>
      </c>
      <c r="H187" s="111" t="s">
        <v>546</v>
      </c>
      <c r="I187" s="111" t="s">
        <v>2050</v>
      </c>
      <c r="J187" s="111" t="s">
        <v>548</v>
      </c>
      <c r="K187" s="19" t="str">
        <f>IF(COUNTIF(bystudent!B:B, G187) &gt; 0, "yes", "no")</f>
        <v>yes</v>
      </c>
    </row>
    <row r="188" ht="18.75" customHeight="1">
      <c r="A188" s="111" t="s">
        <v>1590</v>
      </c>
      <c r="B188" s="111" t="s">
        <v>1591</v>
      </c>
      <c r="C188" s="111" t="s">
        <v>1592</v>
      </c>
      <c r="D188" s="111" t="s">
        <v>1593</v>
      </c>
      <c r="E188" s="111" t="s">
        <v>1594</v>
      </c>
      <c r="F188" s="112">
        <v>300.0</v>
      </c>
      <c r="G188" s="111" t="s">
        <v>2051</v>
      </c>
      <c r="H188" s="111" t="s">
        <v>1422</v>
      </c>
      <c r="I188" s="111" t="s">
        <v>2052</v>
      </c>
      <c r="J188" s="111" t="s">
        <v>1421</v>
      </c>
      <c r="K188" s="19" t="str">
        <f>IF(COUNTIF(bystudent!B:B, G188) &gt; 0, "yes", "no")</f>
        <v>yes</v>
      </c>
    </row>
    <row r="189" ht="18.75" customHeight="1">
      <c r="A189" s="111" t="s">
        <v>1590</v>
      </c>
      <c r="B189" s="111" t="s">
        <v>1591</v>
      </c>
      <c r="C189" s="111" t="s">
        <v>1592</v>
      </c>
      <c r="D189" s="111" t="s">
        <v>1593</v>
      </c>
      <c r="E189" s="111" t="s">
        <v>1594</v>
      </c>
      <c r="F189" s="112">
        <v>300.0</v>
      </c>
      <c r="G189" s="111" t="s">
        <v>2053</v>
      </c>
      <c r="H189" s="111" t="s">
        <v>359</v>
      </c>
      <c r="I189" s="111" t="s">
        <v>2054</v>
      </c>
      <c r="J189" s="111" t="s">
        <v>732</v>
      </c>
      <c r="K189" s="19" t="str">
        <f>IF(COUNTIF(bystudent!B:B, G189) &gt; 0, "yes", "no")</f>
        <v>yes</v>
      </c>
    </row>
    <row r="190" ht="18.75" customHeight="1">
      <c r="A190" s="111" t="s">
        <v>1590</v>
      </c>
      <c r="B190" s="111" t="s">
        <v>1591</v>
      </c>
      <c r="C190" s="111" t="s">
        <v>1592</v>
      </c>
      <c r="D190" s="111" t="s">
        <v>1593</v>
      </c>
      <c r="E190" s="111" t="s">
        <v>1594</v>
      </c>
      <c r="F190" s="112">
        <v>300.0</v>
      </c>
      <c r="G190" s="111" t="s">
        <v>2055</v>
      </c>
      <c r="H190" s="111" t="s">
        <v>521</v>
      </c>
      <c r="I190" s="111" t="s">
        <v>2056</v>
      </c>
      <c r="J190" s="111" t="s">
        <v>523</v>
      </c>
      <c r="K190" s="19" t="str">
        <f>IF(COUNTIF(bystudent!B:B, G190) &gt; 0, "yes", "no")</f>
        <v>yes</v>
      </c>
    </row>
    <row r="191" ht="18.75" customHeight="1">
      <c r="A191" s="111" t="s">
        <v>1590</v>
      </c>
      <c r="B191" s="111" t="s">
        <v>1591</v>
      </c>
      <c r="C191" s="111" t="s">
        <v>1592</v>
      </c>
      <c r="D191" s="111" t="s">
        <v>1593</v>
      </c>
      <c r="E191" s="111" t="s">
        <v>1594</v>
      </c>
      <c r="F191" s="112">
        <v>300.0</v>
      </c>
      <c r="G191" s="111" t="s">
        <v>2057</v>
      </c>
      <c r="H191" s="111" t="s">
        <v>535</v>
      </c>
      <c r="I191" s="111" t="s">
        <v>2058</v>
      </c>
      <c r="J191" s="111" t="s">
        <v>534</v>
      </c>
      <c r="K191" s="19" t="str">
        <f>IF(COUNTIF(bystudent!B:B, G191) &gt; 0, "yes", "no")</f>
        <v>yes</v>
      </c>
    </row>
    <row r="192" ht="18.75" customHeight="1">
      <c r="A192" s="111" t="s">
        <v>1590</v>
      </c>
      <c r="B192" s="111" t="s">
        <v>1591</v>
      </c>
      <c r="C192" s="111" t="s">
        <v>1592</v>
      </c>
      <c r="D192" s="111" t="s">
        <v>1593</v>
      </c>
      <c r="E192" s="111" t="s">
        <v>1594</v>
      </c>
      <c r="F192" s="112">
        <v>300.0</v>
      </c>
      <c r="G192" s="111" t="s">
        <v>2059</v>
      </c>
      <c r="H192" s="111" t="s">
        <v>988</v>
      </c>
      <c r="I192" s="111" t="s">
        <v>2060</v>
      </c>
      <c r="J192" s="111" t="s">
        <v>987</v>
      </c>
      <c r="K192" s="19" t="str">
        <f>IF(COUNTIF(bystudent!B:B, G192) &gt; 0, "yes", "no")</f>
        <v>yes</v>
      </c>
    </row>
    <row r="193" ht="18.75" customHeight="1">
      <c r="A193" s="111" t="s">
        <v>1590</v>
      </c>
      <c r="B193" s="111" t="s">
        <v>1591</v>
      </c>
      <c r="C193" s="111" t="s">
        <v>1592</v>
      </c>
      <c r="D193" s="111" t="s">
        <v>1593</v>
      </c>
      <c r="E193" s="111" t="s">
        <v>1594</v>
      </c>
      <c r="F193" s="112">
        <v>300.0</v>
      </c>
      <c r="G193" s="111" t="s">
        <v>2061</v>
      </c>
      <c r="H193" s="111" t="s">
        <v>241</v>
      </c>
      <c r="I193" s="111" t="s">
        <v>2062</v>
      </c>
      <c r="J193" s="111" t="s">
        <v>1204</v>
      </c>
      <c r="K193" s="19" t="str">
        <f>IF(COUNTIF(bystudent!B:B, G193) &gt; 0, "yes", "no")</f>
        <v>yes</v>
      </c>
    </row>
    <row r="194" ht="18.75" customHeight="1">
      <c r="A194" s="111" t="s">
        <v>1590</v>
      </c>
      <c r="B194" s="111" t="s">
        <v>1591</v>
      </c>
      <c r="C194" s="111" t="s">
        <v>1592</v>
      </c>
      <c r="D194" s="111" t="s">
        <v>1593</v>
      </c>
      <c r="E194" s="111" t="s">
        <v>1594</v>
      </c>
      <c r="F194" s="112">
        <v>300.0</v>
      </c>
      <c r="G194" s="111" t="s">
        <v>2063</v>
      </c>
      <c r="H194" s="111" t="s">
        <v>1380</v>
      </c>
      <c r="I194" s="111" t="s">
        <v>2064</v>
      </c>
      <c r="J194" s="111" t="s">
        <v>1382</v>
      </c>
      <c r="K194" s="19" t="str">
        <f>IF(COUNTIF(bystudent!B:B, G194) &gt; 0, "yes", "no")</f>
        <v>yes</v>
      </c>
    </row>
    <row r="195" ht="18.75" customHeight="1">
      <c r="A195" s="111" t="s">
        <v>1590</v>
      </c>
      <c r="B195" s="111" t="s">
        <v>1591</v>
      </c>
      <c r="C195" s="111" t="s">
        <v>1592</v>
      </c>
      <c r="D195" s="111" t="s">
        <v>1593</v>
      </c>
      <c r="E195" s="111" t="s">
        <v>1594</v>
      </c>
      <c r="F195" s="112">
        <v>300.0</v>
      </c>
      <c r="G195" s="111" t="s">
        <v>2065</v>
      </c>
      <c r="H195" s="111" t="s">
        <v>123</v>
      </c>
      <c r="I195" s="111" t="s">
        <v>2066</v>
      </c>
      <c r="J195" s="111" t="s">
        <v>449</v>
      </c>
      <c r="K195" s="19" t="str">
        <f>IF(COUNTIF(bystudent!B:B, G195) &gt; 0, "yes", "no")</f>
        <v>yes</v>
      </c>
    </row>
    <row r="196" ht="18.75" customHeight="1">
      <c r="A196" s="111" t="s">
        <v>1590</v>
      </c>
      <c r="B196" s="111" t="s">
        <v>1591</v>
      </c>
      <c r="C196" s="111" t="s">
        <v>1592</v>
      </c>
      <c r="D196" s="111" t="s">
        <v>1593</v>
      </c>
      <c r="E196" s="111" t="s">
        <v>1594</v>
      </c>
      <c r="F196" s="112">
        <v>300.0</v>
      </c>
      <c r="G196" s="111" t="s">
        <v>2067</v>
      </c>
      <c r="H196" s="111" t="s">
        <v>265</v>
      </c>
      <c r="I196" s="111" t="s">
        <v>2068</v>
      </c>
      <c r="J196" s="111" t="s">
        <v>738</v>
      </c>
      <c r="K196" s="19" t="str">
        <f>IF(COUNTIF(bystudent!B:B, G196) &gt; 0, "yes", "no")</f>
        <v>yes</v>
      </c>
    </row>
    <row r="197" ht="18.75" customHeight="1">
      <c r="A197" s="111" t="s">
        <v>1590</v>
      </c>
      <c r="B197" s="111" t="s">
        <v>1591</v>
      </c>
      <c r="C197" s="111" t="s">
        <v>1592</v>
      </c>
      <c r="D197" s="111" t="s">
        <v>1593</v>
      </c>
      <c r="E197" s="111" t="s">
        <v>1594</v>
      </c>
      <c r="F197" s="112">
        <v>300.0</v>
      </c>
      <c r="G197" s="111" t="s">
        <v>2069</v>
      </c>
      <c r="H197" s="111" t="s">
        <v>247</v>
      </c>
      <c r="I197" s="111" t="s">
        <v>2070</v>
      </c>
      <c r="J197" s="111" t="s">
        <v>398</v>
      </c>
      <c r="K197" s="19" t="str">
        <f>IF(COUNTIF(bystudent!B:B, G197) &gt; 0, "yes", "no")</f>
        <v>yes</v>
      </c>
    </row>
    <row r="198" ht="18.75" customHeight="1">
      <c r="A198" s="111" t="s">
        <v>1590</v>
      </c>
      <c r="B198" s="111" t="s">
        <v>1591</v>
      </c>
      <c r="C198" s="111" t="s">
        <v>1592</v>
      </c>
      <c r="D198" s="111" t="s">
        <v>1593</v>
      </c>
      <c r="E198" s="111" t="s">
        <v>1594</v>
      </c>
      <c r="F198" s="112">
        <v>300.0</v>
      </c>
      <c r="G198" s="111" t="s">
        <v>2071</v>
      </c>
      <c r="H198" s="111" t="s">
        <v>154</v>
      </c>
      <c r="I198" s="111" t="s">
        <v>2072</v>
      </c>
      <c r="J198" s="111" t="s">
        <v>1134</v>
      </c>
      <c r="K198" s="19" t="str">
        <f>IF(COUNTIF(bystudent!B:B, G198) &gt; 0, "yes", "no")</f>
        <v>yes</v>
      </c>
    </row>
    <row r="199" ht="18.75" customHeight="1">
      <c r="A199" s="111" t="s">
        <v>1590</v>
      </c>
      <c r="B199" s="111" t="s">
        <v>1591</v>
      </c>
      <c r="C199" s="111" t="s">
        <v>1592</v>
      </c>
      <c r="D199" s="111" t="s">
        <v>1593</v>
      </c>
      <c r="E199" s="111" t="s">
        <v>1594</v>
      </c>
      <c r="F199" s="112">
        <v>300.0</v>
      </c>
      <c r="G199" s="111" t="s">
        <v>2073</v>
      </c>
      <c r="H199" s="111" t="s">
        <v>267</v>
      </c>
      <c r="I199" s="111" t="s">
        <v>2074</v>
      </c>
      <c r="J199" s="111" t="s">
        <v>266</v>
      </c>
      <c r="K199" s="19" t="str">
        <f>IF(COUNTIF(bystudent!B:B, G199) &gt; 0, "yes", "no")</f>
        <v>yes</v>
      </c>
    </row>
    <row r="200" ht="18.75" customHeight="1">
      <c r="A200" s="111" t="s">
        <v>1590</v>
      </c>
      <c r="B200" s="111" t="s">
        <v>1591</v>
      </c>
      <c r="C200" s="111" t="s">
        <v>1592</v>
      </c>
      <c r="D200" s="111" t="s">
        <v>1593</v>
      </c>
      <c r="E200" s="111" t="s">
        <v>1594</v>
      </c>
      <c r="F200" s="112">
        <v>300.0</v>
      </c>
      <c r="G200" s="111" t="s">
        <v>2075</v>
      </c>
      <c r="H200" s="111" t="s">
        <v>151</v>
      </c>
      <c r="I200" s="111" t="s">
        <v>2076</v>
      </c>
      <c r="J200" s="111" t="s">
        <v>1291</v>
      </c>
      <c r="K200" s="19" t="str">
        <f>IF(COUNTIF(bystudent!B:B, G200) &gt; 0, "yes", "no")</f>
        <v>yes</v>
      </c>
    </row>
    <row r="201" ht="18.75" customHeight="1">
      <c r="A201" s="111" t="s">
        <v>1590</v>
      </c>
      <c r="B201" s="111" t="s">
        <v>1591</v>
      </c>
      <c r="C201" s="111" t="s">
        <v>1592</v>
      </c>
      <c r="D201" s="111" t="s">
        <v>1593</v>
      </c>
      <c r="E201" s="111" t="s">
        <v>1594</v>
      </c>
      <c r="F201" s="112">
        <v>300.0</v>
      </c>
      <c r="G201" s="111" t="s">
        <v>2077</v>
      </c>
      <c r="H201" s="111" t="s">
        <v>796</v>
      </c>
      <c r="I201" s="111" t="s">
        <v>2078</v>
      </c>
      <c r="J201" s="111" t="s">
        <v>799</v>
      </c>
      <c r="K201" s="19" t="str">
        <f>IF(COUNTIF(bystudent!B:B, G201) &gt; 0, "yes", "no")</f>
        <v>yes</v>
      </c>
    </row>
    <row r="202" ht="18.75" customHeight="1">
      <c r="A202" s="111" t="s">
        <v>1590</v>
      </c>
      <c r="B202" s="111" t="s">
        <v>1591</v>
      </c>
      <c r="C202" s="111" t="s">
        <v>1592</v>
      </c>
      <c r="D202" s="111" t="s">
        <v>1593</v>
      </c>
      <c r="E202" s="111" t="s">
        <v>1594</v>
      </c>
      <c r="F202" s="112">
        <v>300.0</v>
      </c>
      <c r="G202" s="111" t="s">
        <v>2081</v>
      </c>
      <c r="H202" s="111" t="s">
        <v>282</v>
      </c>
      <c r="I202" s="111" t="s">
        <v>2082</v>
      </c>
      <c r="J202" s="111" t="s">
        <v>377</v>
      </c>
      <c r="K202" s="19" t="str">
        <f>IF(COUNTIF(bystudent!B:B, G202) &gt; 0, "yes", "no")</f>
        <v>yes</v>
      </c>
    </row>
    <row r="203" ht="18.75" customHeight="1">
      <c r="A203" s="111" t="s">
        <v>1590</v>
      </c>
      <c r="B203" s="111" t="s">
        <v>1591</v>
      </c>
      <c r="C203" s="111" t="s">
        <v>1592</v>
      </c>
      <c r="D203" s="111" t="s">
        <v>1593</v>
      </c>
      <c r="E203" s="111" t="s">
        <v>1594</v>
      </c>
      <c r="F203" s="112">
        <v>300.0</v>
      </c>
      <c r="G203" s="111" t="s">
        <v>2083</v>
      </c>
      <c r="H203" s="111" t="s">
        <v>150</v>
      </c>
      <c r="I203" s="111" t="s">
        <v>2084</v>
      </c>
      <c r="J203" s="111" t="s">
        <v>721</v>
      </c>
      <c r="K203" s="19" t="str">
        <f>IF(COUNTIF(bystudent!B:B, G203) &gt; 0, "yes", "no")</f>
        <v>yes</v>
      </c>
    </row>
    <row r="204" ht="18.75" customHeight="1">
      <c r="A204" s="111" t="s">
        <v>1590</v>
      </c>
      <c r="B204" s="111" t="s">
        <v>1591</v>
      </c>
      <c r="C204" s="111" t="s">
        <v>1592</v>
      </c>
      <c r="D204" s="111" t="s">
        <v>1593</v>
      </c>
      <c r="E204" s="111" t="s">
        <v>1594</v>
      </c>
      <c r="F204" s="112">
        <v>300.0</v>
      </c>
      <c r="G204" s="111" t="s">
        <v>2085</v>
      </c>
      <c r="H204" s="111" t="s">
        <v>198</v>
      </c>
      <c r="I204" s="111" t="s">
        <v>2086</v>
      </c>
      <c r="J204" s="111" t="s">
        <v>993</v>
      </c>
      <c r="K204" s="19" t="str">
        <f>IF(COUNTIF(bystudent!B:B, G204) &gt; 0, "yes", "no")</f>
        <v>yes</v>
      </c>
    </row>
    <row r="205" ht="18.75" customHeight="1">
      <c r="A205" s="111" t="s">
        <v>1590</v>
      </c>
      <c r="B205" s="111" t="s">
        <v>1591</v>
      </c>
      <c r="C205" s="111" t="s">
        <v>1592</v>
      </c>
      <c r="D205" s="111" t="s">
        <v>1593</v>
      </c>
      <c r="E205" s="111" t="s">
        <v>1594</v>
      </c>
      <c r="F205" s="112">
        <v>300.0</v>
      </c>
      <c r="G205" s="111" t="s">
        <v>2087</v>
      </c>
      <c r="H205" s="111" t="s">
        <v>711</v>
      </c>
      <c r="I205" s="111" t="s">
        <v>2088</v>
      </c>
      <c r="J205" s="111" t="s">
        <v>540</v>
      </c>
      <c r="K205" s="19" t="str">
        <f>IF(COUNTIF(bystudent!B:B, G205) &gt; 0, "yes", "no")</f>
        <v>yes</v>
      </c>
    </row>
    <row r="206" ht="18.75" customHeight="1">
      <c r="A206" s="111" t="s">
        <v>1590</v>
      </c>
      <c r="B206" s="111" t="s">
        <v>1591</v>
      </c>
      <c r="C206" s="111" t="s">
        <v>1592</v>
      </c>
      <c r="D206" s="111" t="s">
        <v>1593</v>
      </c>
      <c r="E206" s="111" t="s">
        <v>1594</v>
      </c>
      <c r="F206" s="112">
        <v>300.0</v>
      </c>
      <c r="G206" s="111" t="s">
        <v>2089</v>
      </c>
      <c r="H206" s="111" t="s">
        <v>923</v>
      </c>
      <c r="I206" s="111" t="s">
        <v>2090</v>
      </c>
      <c r="J206" s="111" t="s">
        <v>922</v>
      </c>
      <c r="K206" s="19" t="str">
        <f>IF(COUNTIF(bystudent!B:B, G206) &gt; 0, "yes", "no")</f>
        <v>yes</v>
      </c>
    </row>
    <row r="207" ht="18.75" customHeight="1">
      <c r="A207" s="111" t="s">
        <v>1590</v>
      </c>
      <c r="B207" s="111" t="s">
        <v>1591</v>
      </c>
      <c r="C207" s="111" t="s">
        <v>1592</v>
      </c>
      <c r="D207" s="111" t="s">
        <v>1593</v>
      </c>
      <c r="E207" s="111" t="s">
        <v>1594</v>
      </c>
      <c r="F207" s="112">
        <v>300.0</v>
      </c>
      <c r="G207" s="111" t="s">
        <v>2091</v>
      </c>
      <c r="H207" s="111" t="s">
        <v>1508</v>
      </c>
      <c r="I207" s="111" t="s">
        <v>2092</v>
      </c>
      <c r="J207" s="111" t="s">
        <v>1510</v>
      </c>
      <c r="K207" s="19" t="str">
        <f>IF(COUNTIF(bystudent!B:B, G207) &gt; 0, "yes", "no")</f>
        <v>yes</v>
      </c>
    </row>
    <row r="208" ht="18.75" customHeight="1">
      <c r="A208" s="111" t="s">
        <v>1590</v>
      </c>
      <c r="B208" s="111" t="s">
        <v>1591</v>
      </c>
      <c r="C208" s="111" t="s">
        <v>1592</v>
      </c>
      <c r="D208" s="111" t="s">
        <v>1593</v>
      </c>
      <c r="E208" s="111" t="s">
        <v>1594</v>
      </c>
      <c r="F208" s="112">
        <v>300.0</v>
      </c>
      <c r="G208" s="111" t="s">
        <v>2093</v>
      </c>
      <c r="H208" s="111" t="s">
        <v>261</v>
      </c>
      <c r="I208" s="111" t="s">
        <v>2094</v>
      </c>
      <c r="J208" s="111" t="s">
        <v>741</v>
      </c>
      <c r="K208" s="19" t="str">
        <f>IF(COUNTIF(bystudent!B:B, G208) &gt; 0, "yes", "no")</f>
        <v>yes</v>
      </c>
    </row>
    <row r="209" ht="18.75" customHeight="1">
      <c r="A209" s="111" t="s">
        <v>1590</v>
      </c>
      <c r="B209" s="111" t="s">
        <v>1591</v>
      </c>
      <c r="C209" s="111" t="s">
        <v>1592</v>
      </c>
      <c r="D209" s="111" t="s">
        <v>1593</v>
      </c>
      <c r="E209" s="111" t="s">
        <v>1594</v>
      </c>
      <c r="F209" s="112">
        <v>300.0</v>
      </c>
      <c r="G209" s="111" t="s">
        <v>2095</v>
      </c>
      <c r="H209" s="111" t="s">
        <v>210</v>
      </c>
      <c r="I209" s="111" t="s">
        <v>2096</v>
      </c>
      <c r="J209" s="111" t="s">
        <v>1033</v>
      </c>
      <c r="K209" s="19" t="str">
        <f>IF(COUNTIF(bystudent!B:B, G209) &gt; 0, "yes", "no")</f>
        <v>yes</v>
      </c>
    </row>
    <row r="210" ht="18.75" customHeight="1">
      <c r="A210" s="111" t="s">
        <v>1590</v>
      </c>
      <c r="B210" s="111" t="s">
        <v>1591</v>
      </c>
      <c r="C210" s="111" t="s">
        <v>1592</v>
      </c>
      <c r="D210" s="111" t="s">
        <v>1593</v>
      </c>
      <c r="E210" s="111" t="s">
        <v>1594</v>
      </c>
      <c r="F210" s="112">
        <v>300.0</v>
      </c>
      <c r="G210" s="111" t="s">
        <v>2097</v>
      </c>
      <c r="H210" s="111" t="s">
        <v>119</v>
      </c>
      <c r="I210" s="111" t="s">
        <v>2098</v>
      </c>
      <c r="J210" s="111" t="s">
        <v>697</v>
      </c>
      <c r="K210" s="19" t="str">
        <f>IF(COUNTIF(bystudent!B:B, G210) &gt; 0, "yes", "no")</f>
        <v>yes</v>
      </c>
    </row>
    <row r="211" ht="18.75" customHeight="1">
      <c r="A211" s="111" t="s">
        <v>1590</v>
      </c>
      <c r="B211" s="111" t="s">
        <v>1591</v>
      </c>
      <c r="C211" s="111" t="s">
        <v>1592</v>
      </c>
      <c r="D211" s="111" t="s">
        <v>1593</v>
      </c>
      <c r="E211" s="111" t="s">
        <v>1594</v>
      </c>
      <c r="F211" s="112">
        <v>300.0</v>
      </c>
      <c r="G211" s="111" t="s">
        <v>2099</v>
      </c>
      <c r="H211" s="111" t="s">
        <v>881</v>
      </c>
      <c r="I211" s="111" t="s">
        <v>2100</v>
      </c>
      <c r="J211" s="111" t="s">
        <v>880</v>
      </c>
      <c r="K211" s="19" t="str">
        <f>IF(COUNTIF(bystudent!B:B, G211) &gt; 0, "yes", "no")</f>
        <v>yes</v>
      </c>
    </row>
    <row r="212" ht="18.75" customHeight="1">
      <c r="A212" s="111" t="s">
        <v>1590</v>
      </c>
      <c r="B212" s="111" t="s">
        <v>1591</v>
      </c>
      <c r="C212" s="111" t="s">
        <v>1592</v>
      </c>
      <c r="D212" s="111" t="s">
        <v>1593</v>
      </c>
      <c r="E212" s="111" t="s">
        <v>1594</v>
      </c>
      <c r="F212" s="112">
        <v>300.0</v>
      </c>
      <c r="G212" s="111" t="s">
        <v>2101</v>
      </c>
      <c r="H212" s="111" t="s">
        <v>434</v>
      </c>
      <c r="I212" s="111" t="s">
        <v>2102</v>
      </c>
      <c r="J212" s="111" t="s">
        <v>433</v>
      </c>
      <c r="K212" s="19" t="str">
        <f>IF(COUNTIF(bystudent!B:B, G212) &gt; 0, "yes", "no")</f>
        <v>yes</v>
      </c>
    </row>
    <row r="213" ht="18.75" customHeight="1">
      <c r="A213" s="111" t="s">
        <v>1590</v>
      </c>
      <c r="B213" s="111" t="s">
        <v>1591</v>
      </c>
      <c r="C213" s="111" t="s">
        <v>1592</v>
      </c>
      <c r="D213" s="111" t="s">
        <v>1593</v>
      </c>
      <c r="E213" s="111" t="s">
        <v>1594</v>
      </c>
      <c r="F213" s="112">
        <v>300.0</v>
      </c>
      <c r="G213" s="111" t="s">
        <v>2103</v>
      </c>
      <c r="H213" s="111" t="s">
        <v>259</v>
      </c>
      <c r="I213" s="111" t="s">
        <v>2104</v>
      </c>
      <c r="J213" s="111" t="s">
        <v>1223</v>
      </c>
      <c r="K213" s="19" t="str">
        <f>IF(COUNTIF(bystudent!B:B, G213) &gt; 0, "yes", "no")</f>
        <v>yes</v>
      </c>
    </row>
    <row r="214" ht="18.75" customHeight="1">
      <c r="A214" s="111" t="s">
        <v>1590</v>
      </c>
      <c r="B214" s="111" t="s">
        <v>1591</v>
      </c>
      <c r="C214" s="111" t="s">
        <v>1592</v>
      </c>
      <c r="D214" s="111" t="s">
        <v>1593</v>
      </c>
      <c r="E214" s="111" t="s">
        <v>1594</v>
      </c>
      <c r="F214" s="112">
        <v>300.0</v>
      </c>
      <c r="G214" s="111" t="s">
        <v>2105</v>
      </c>
      <c r="H214" s="111" t="s">
        <v>253</v>
      </c>
      <c r="I214" s="111" t="s">
        <v>2106</v>
      </c>
      <c r="J214" s="111" t="s">
        <v>1308</v>
      </c>
      <c r="K214" s="19" t="str">
        <f>IF(COUNTIF(bystudent!B:B, G214) &gt; 0, "yes", "no")</f>
        <v>yes</v>
      </c>
    </row>
    <row r="215" ht="18.75" customHeight="1">
      <c r="A215" s="111" t="s">
        <v>1590</v>
      </c>
      <c r="B215" s="111" t="s">
        <v>1591</v>
      </c>
      <c r="C215" s="111" t="s">
        <v>1592</v>
      </c>
      <c r="D215" s="111" t="s">
        <v>1593</v>
      </c>
      <c r="E215" s="111" t="s">
        <v>1594</v>
      </c>
      <c r="F215" s="112">
        <v>300.0</v>
      </c>
      <c r="G215" s="111" t="s">
        <v>2107</v>
      </c>
      <c r="H215" s="111" t="s">
        <v>318</v>
      </c>
      <c r="I215" s="111" t="s">
        <v>2108</v>
      </c>
      <c r="J215" s="111" t="s">
        <v>520</v>
      </c>
      <c r="K215" s="19" t="str">
        <f>IF(COUNTIF(bystudent!B:B, G215) &gt; 0, "yes", "no")</f>
        <v>yes</v>
      </c>
    </row>
    <row r="216" ht="18.75" customHeight="1">
      <c r="A216" s="111" t="s">
        <v>1590</v>
      </c>
      <c r="B216" s="111" t="s">
        <v>1591</v>
      </c>
      <c r="C216" s="111" t="s">
        <v>1592</v>
      </c>
      <c r="D216" s="111" t="s">
        <v>1593</v>
      </c>
      <c r="E216" s="111" t="s">
        <v>1594</v>
      </c>
      <c r="F216" s="112">
        <v>300.0</v>
      </c>
      <c r="G216" s="111" t="s">
        <v>2109</v>
      </c>
      <c r="H216" s="111" t="s">
        <v>264</v>
      </c>
      <c r="I216" s="111" t="s">
        <v>2110</v>
      </c>
      <c r="J216" s="111" t="s">
        <v>1286</v>
      </c>
      <c r="K216" s="19" t="str">
        <f>IF(COUNTIF(bystudent!B:B, G216) &gt; 0, "yes", "no")</f>
        <v>yes</v>
      </c>
    </row>
    <row r="217" ht="18.75" customHeight="1">
      <c r="A217" s="111" t="s">
        <v>1590</v>
      </c>
      <c r="B217" s="111" t="s">
        <v>1591</v>
      </c>
      <c r="C217" s="111" t="s">
        <v>1592</v>
      </c>
      <c r="D217" s="111" t="s">
        <v>1593</v>
      </c>
      <c r="E217" s="111" t="s">
        <v>1594</v>
      </c>
      <c r="F217" s="112">
        <v>300.0</v>
      </c>
      <c r="G217" s="111" t="s">
        <v>2111</v>
      </c>
      <c r="H217" s="111" t="s">
        <v>667</v>
      </c>
      <c r="I217" s="111" t="s">
        <v>2112</v>
      </c>
      <c r="J217" s="111" t="s">
        <v>669</v>
      </c>
      <c r="K217" s="19" t="str">
        <f>IF(COUNTIF(bystudent!B:B, G217) &gt; 0, "yes", "no")</f>
        <v>yes</v>
      </c>
    </row>
    <row r="218" ht="18.75" customHeight="1">
      <c r="A218" s="111" t="s">
        <v>1590</v>
      </c>
      <c r="B218" s="111" t="s">
        <v>1591</v>
      </c>
      <c r="C218" s="111" t="s">
        <v>1592</v>
      </c>
      <c r="D218" s="111" t="s">
        <v>1593</v>
      </c>
      <c r="E218" s="111" t="s">
        <v>1594</v>
      </c>
      <c r="F218" s="112">
        <v>300.0</v>
      </c>
      <c r="G218" s="111" t="s">
        <v>2113</v>
      </c>
      <c r="H218" s="111" t="s">
        <v>671</v>
      </c>
      <c r="I218" s="111" t="s">
        <v>2114</v>
      </c>
      <c r="J218" s="111" t="s">
        <v>673</v>
      </c>
      <c r="K218" s="19" t="str">
        <f>IF(COUNTIF(bystudent!B:B, G218) &gt; 0, "yes", "no")</f>
        <v>yes</v>
      </c>
    </row>
    <row r="219" ht="18.75" customHeight="1">
      <c r="A219" s="111" t="s">
        <v>1590</v>
      </c>
      <c r="B219" s="111" t="s">
        <v>1591</v>
      </c>
      <c r="C219" s="111" t="s">
        <v>1592</v>
      </c>
      <c r="D219" s="111" t="s">
        <v>1593</v>
      </c>
      <c r="E219" s="111" t="s">
        <v>1594</v>
      </c>
      <c r="F219" s="112">
        <v>300.0</v>
      </c>
      <c r="G219" s="111" t="s">
        <v>2115</v>
      </c>
      <c r="H219" s="111" t="s">
        <v>821</v>
      </c>
      <c r="I219" s="111" t="s">
        <v>2116</v>
      </c>
      <c r="J219" s="111" t="s">
        <v>829</v>
      </c>
      <c r="K219" s="19" t="str">
        <f>IF(COUNTIF(bystudent!B:B, G219) &gt; 0, "yes", "no")</f>
        <v>yes</v>
      </c>
    </row>
    <row r="220" ht="18.75" customHeight="1">
      <c r="A220" s="111" t="s">
        <v>1590</v>
      </c>
      <c r="B220" s="111" t="s">
        <v>1591</v>
      </c>
      <c r="C220" s="111" t="s">
        <v>1592</v>
      </c>
      <c r="D220" s="111" t="s">
        <v>1593</v>
      </c>
      <c r="E220" s="111" t="s">
        <v>1594</v>
      </c>
      <c r="F220" s="112">
        <v>300.0</v>
      </c>
      <c r="G220" s="111" t="s">
        <v>2117</v>
      </c>
      <c r="H220" s="111" t="s">
        <v>1495</v>
      </c>
      <c r="I220" s="111" t="s">
        <v>2118</v>
      </c>
      <c r="J220" s="111" t="s">
        <v>1497</v>
      </c>
      <c r="K220" s="19" t="str">
        <f>IF(COUNTIF(bystudent!B:B, G220) &gt; 0, "yes", "no")</f>
        <v>yes</v>
      </c>
    </row>
    <row r="221" ht="18.75" customHeight="1">
      <c r="A221" s="111" t="s">
        <v>1590</v>
      </c>
      <c r="B221" s="111" t="s">
        <v>1591</v>
      </c>
      <c r="C221" s="111" t="s">
        <v>1592</v>
      </c>
      <c r="D221" s="111" t="s">
        <v>1593</v>
      </c>
      <c r="E221" s="111" t="s">
        <v>1594</v>
      </c>
      <c r="F221" s="112">
        <v>300.0</v>
      </c>
      <c r="G221" s="111" t="s">
        <v>2119</v>
      </c>
      <c r="H221" s="111" t="s">
        <v>496</v>
      </c>
      <c r="I221" s="111" t="s">
        <v>2120</v>
      </c>
      <c r="J221" s="111" t="s">
        <v>498</v>
      </c>
      <c r="K221" s="19" t="str">
        <f>IF(COUNTIF(bystudent!B:B, G221) &gt; 0, "yes", "no")</f>
        <v>yes</v>
      </c>
    </row>
    <row r="222" ht="18.75" customHeight="1">
      <c r="A222" s="111" t="s">
        <v>1590</v>
      </c>
      <c r="B222" s="111" t="s">
        <v>1591</v>
      </c>
      <c r="C222" s="111" t="s">
        <v>1592</v>
      </c>
      <c r="D222" s="111" t="s">
        <v>1593</v>
      </c>
      <c r="E222" s="111" t="s">
        <v>1594</v>
      </c>
      <c r="F222" s="112">
        <v>300.0</v>
      </c>
      <c r="G222" s="111" t="s">
        <v>2121</v>
      </c>
      <c r="H222" s="111" t="s">
        <v>274</v>
      </c>
      <c r="I222" s="111" t="s">
        <v>2122</v>
      </c>
      <c r="J222" s="111" t="s">
        <v>1224</v>
      </c>
      <c r="K222" s="19" t="str">
        <f>IF(COUNTIF(bystudent!B:B, G222) &gt; 0, "yes", "no")</f>
        <v>yes</v>
      </c>
    </row>
    <row r="223" ht="18.75" customHeight="1">
      <c r="A223" s="111" t="s">
        <v>1590</v>
      </c>
      <c r="B223" s="111" t="s">
        <v>1591</v>
      </c>
      <c r="C223" s="111" t="s">
        <v>1592</v>
      </c>
      <c r="D223" s="111" t="s">
        <v>1593</v>
      </c>
      <c r="E223" s="111" t="s">
        <v>1594</v>
      </c>
      <c r="F223" s="112">
        <v>300.0</v>
      </c>
      <c r="G223" s="111" t="s">
        <v>2123</v>
      </c>
      <c r="H223" s="111" t="s">
        <v>1276</v>
      </c>
      <c r="I223" s="111" t="s">
        <v>2124</v>
      </c>
      <c r="J223" s="111" t="s">
        <v>1280</v>
      </c>
      <c r="K223" s="19" t="str">
        <f>IF(COUNTIF(bystudent!B:B, G223) &gt; 0, "yes", "no")</f>
        <v>yes</v>
      </c>
    </row>
    <row r="224" ht="18.75" customHeight="1">
      <c r="A224" s="111" t="s">
        <v>1590</v>
      </c>
      <c r="B224" s="111" t="s">
        <v>1591</v>
      </c>
      <c r="C224" s="111" t="s">
        <v>1592</v>
      </c>
      <c r="D224" s="111" t="s">
        <v>1593</v>
      </c>
      <c r="E224" s="111" t="s">
        <v>1594</v>
      </c>
      <c r="F224" s="112">
        <v>300.0</v>
      </c>
      <c r="G224" s="111" t="s">
        <v>2125</v>
      </c>
      <c r="H224" s="111" t="s">
        <v>386</v>
      </c>
      <c r="I224" s="111" t="s">
        <v>2126</v>
      </c>
      <c r="J224" s="111" t="s">
        <v>1470</v>
      </c>
      <c r="K224" s="19" t="str">
        <f>IF(COUNTIF(bystudent!B:B, G224) &gt; 0, "yes", "no")</f>
        <v>yes</v>
      </c>
    </row>
    <row r="225" ht="18.75" customHeight="1">
      <c r="A225" s="111" t="s">
        <v>1590</v>
      </c>
      <c r="B225" s="111" t="s">
        <v>1591</v>
      </c>
      <c r="C225" s="111" t="s">
        <v>1592</v>
      </c>
      <c r="D225" s="111" t="s">
        <v>1593</v>
      </c>
      <c r="E225" s="111" t="s">
        <v>1594</v>
      </c>
      <c r="F225" s="112">
        <v>300.0</v>
      </c>
      <c r="G225" s="111" t="s">
        <v>2127</v>
      </c>
      <c r="H225" s="111" t="s">
        <v>895</v>
      </c>
      <c r="I225" s="111" t="s">
        <v>2128</v>
      </c>
      <c r="J225" s="111" t="s">
        <v>897</v>
      </c>
      <c r="K225" s="19" t="str">
        <f>IF(COUNTIF(bystudent!B:B, G225) &gt; 0, "yes", "no")</f>
        <v>yes</v>
      </c>
    </row>
    <row r="226" ht="18.75" customHeight="1">
      <c r="A226" s="111" t="s">
        <v>1590</v>
      </c>
      <c r="B226" s="111" t="s">
        <v>1591</v>
      </c>
      <c r="C226" s="111" t="s">
        <v>1592</v>
      </c>
      <c r="D226" s="111" t="s">
        <v>1593</v>
      </c>
      <c r="E226" s="111" t="s">
        <v>1594</v>
      </c>
      <c r="F226" s="112">
        <v>300.0</v>
      </c>
      <c r="G226" s="111" t="s">
        <v>2129</v>
      </c>
      <c r="H226" s="111" t="s">
        <v>312</v>
      </c>
      <c r="I226" s="111" t="s">
        <v>2130</v>
      </c>
      <c r="J226" s="111" t="s">
        <v>1325</v>
      </c>
      <c r="K226" s="19" t="str">
        <f>IF(COUNTIF(bystudent!B:B, G226) &gt; 0, "yes", "no")</f>
        <v>yes</v>
      </c>
    </row>
    <row r="227" ht="18.75" customHeight="1">
      <c r="A227" s="111" t="s">
        <v>1590</v>
      </c>
      <c r="B227" s="111" t="s">
        <v>1591</v>
      </c>
      <c r="C227" s="111" t="s">
        <v>1592</v>
      </c>
      <c r="D227" s="111" t="s">
        <v>1593</v>
      </c>
      <c r="E227" s="111" t="s">
        <v>1594</v>
      </c>
      <c r="F227" s="112">
        <v>300.0</v>
      </c>
      <c r="G227" s="111" t="s">
        <v>2131</v>
      </c>
      <c r="H227" s="111" t="s">
        <v>1351</v>
      </c>
      <c r="I227" s="111" t="s">
        <v>2132</v>
      </c>
      <c r="J227" s="111" t="s">
        <v>1350</v>
      </c>
      <c r="K227" s="19" t="str">
        <f>IF(COUNTIF(bystudent!B:B, G227) &gt; 0, "yes", "no")</f>
        <v>yes</v>
      </c>
    </row>
    <row r="228" ht="18.75" customHeight="1">
      <c r="A228" s="111" t="s">
        <v>1590</v>
      </c>
      <c r="B228" s="111" t="s">
        <v>1591</v>
      </c>
      <c r="C228" s="111" t="s">
        <v>1592</v>
      </c>
      <c r="D228" s="111" t="s">
        <v>1593</v>
      </c>
      <c r="E228" s="111" t="s">
        <v>1594</v>
      </c>
      <c r="F228" s="112">
        <v>300.0</v>
      </c>
      <c r="G228" s="111" t="s">
        <v>2133</v>
      </c>
      <c r="H228" s="111" t="s">
        <v>1238</v>
      </c>
      <c r="I228" s="111" t="s">
        <v>2134</v>
      </c>
      <c r="J228" s="111" t="s">
        <v>1237</v>
      </c>
      <c r="K228" s="19" t="str">
        <f>IF(COUNTIF(bystudent!B:B, G228) &gt; 0, "yes", "no")</f>
        <v>yes</v>
      </c>
    </row>
    <row r="229" ht="18.75" customHeight="1">
      <c r="A229" s="111" t="s">
        <v>1590</v>
      </c>
      <c r="B229" s="111" t="s">
        <v>1591</v>
      </c>
      <c r="C229" s="111" t="s">
        <v>1592</v>
      </c>
      <c r="D229" s="111" t="s">
        <v>1593</v>
      </c>
      <c r="E229" s="111" t="s">
        <v>1594</v>
      </c>
      <c r="F229" s="112">
        <v>300.0</v>
      </c>
      <c r="G229" s="111" t="s">
        <v>2135</v>
      </c>
      <c r="H229" s="111" t="s">
        <v>635</v>
      </c>
      <c r="I229" s="111" t="s">
        <v>2136</v>
      </c>
      <c r="J229" s="111" t="s">
        <v>637</v>
      </c>
      <c r="K229" s="19" t="str">
        <f>IF(COUNTIF(bystudent!B:B, G229) &gt; 0, "yes", "no")</f>
        <v>yes</v>
      </c>
    </row>
    <row r="230" ht="18.75" customHeight="1">
      <c r="A230" s="111" t="s">
        <v>1590</v>
      </c>
      <c r="B230" s="111" t="s">
        <v>1591</v>
      </c>
      <c r="C230" s="111" t="s">
        <v>1592</v>
      </c>
      <c r="D230" s="111" t="s">
        <v>1593</v>
      </c>
      <c r="E230" s="111" t="s">
        <v>1594</v>
      </c>
      <c r="F230" s="112">
        <v>300.0</v>
      </c>
      <c r="G230" s="111" t="s">
        <v>2137</v>
      </c>
      <c r="H230" s="111" t="s">
        <v>90</v>
      </c>
      <c r="I230" s="111" t="s">
        <v>2138</v>
      </c>
      <c r="J230" s="111" t="s">
        <v>571</v>
      </c>
      <c r="K230" s="19" t="str">
        <f>IF(COUNTIF(bystudent!B:B, G230) &gt; 0, "yes", "no")</f>
        <v>yes</v>
      </c>
    </row>
    <row r="231" ht="18.75" customHeight="1">
      <c r="A231" s="111" t="s">
        <v>1590</v>
      </c>
      <c r="B231" s="111" t="s">
        <v>1591</v>
      </c>
      <c r="C231" s="111" t="s">
        <v>1592</v>
      </c>
      <c r="D231" s="111" t="s">
        <v>1593</v>
      </c>
      <c r="E231" s="111" t="s">
        <v>1594</v>
      </c>
      <c r="F231" s="112">
        <v>300.0</v>
      </c>
      <c r="G231" s="111" t="s">
        <v>2139</v>
      </c>
      <c r="H231" s="111" t="s">
        <v>237</v>
      </c>
      <c r="I231" s="111" t="s">
        <v>2140</v>
      </c>
      <c r="J231" s="111" t="s">
        <v>1173</v>
      </c>
      <c r="K231" s="19" t="str">
        <f>IF(COUNTIF(bystudent!B:B, G231) &gt; 0, "yes", "no")</f>
        <v>yes</v>
      </c>
    </row>
    <row r="232" ht="18.75" customHeight="1">
      <c r="A232" s="111" t="s">
        <v>1590</v>
      </c>
      <c r="B232" s="111" t="s">
        <v>1591</v>
      </c>
      <c r="C232" s="111" t="s">
        <v>1592</v>
      </c>
      <c r="D232" s="111" t="s">
        <v>1593</v>
      </c>
      <c r="E232" s="111" t="s">
        <v>1594</v>
      </c>
      <c r="F232" s="112">
        <v>300.0</v>
      </c>
      <c r="G232" s="111" t="s">
        <v>2141</v>
      </c>
      <c r="H232" s="111" t="s">
        <v>179</v>
      </c>
      <c r="I232" s="111" t="s">
        <v>2142</v>
      </c>
      <c r="J232" s="111" t="s">
        <v>567</v>
      </c>
      <c r="K232" s="19" t="str">
        <f>IF(COUNTIF(bystudent!B:B, G232) &gt; 0, "yes", "no")</f>
        <v>yes</v>
      </c>
    </row>
    <row r="233" ht="18.75" customHeight="1">
      <c r="A233" s="111" t="s">
        <v>1590</v>
      </c>
      <c r="B233" s="111" t="s">
        <v>1591</v>
      </c>
      <c r="C233" s="111" t="s">
        <v>1592</v>
      </c>
      <c r="D233" s="111" t="s">
        <v>1593</v>
      </c>
      <c r="E233" s="111" t="s">
        <v>1594</v>
      </c>
      <c r="F233" s="112">
        <v>300.0</v>
      </c>
      <c r="G233" s="111" t="s">
        <v>2143</v>
      </c>
      <c r="H233" s="111" t="s">
        <v>299</v>
      </c>
      <c r="I233" s="111" t="s">
        <v>2144</v>
      </c>
      <c r="J233" s="111" t="s">
        <v>948</v>
      </c>
      <c r="K233" s="19" t="str">
        <f>IF(COUNTIF(bystudent!B:B, G233) &gt; 0, "yes", "no")</f>
        <v>yes</v>
      </c>
    </row>
    <row r="234" ht="18.75" customHeight="1">
      <c r="A234" s="111" t="s">
        <v>1590</v>
      </c>
      <c r="B234" s="111" t="s">
        <v>1591</v>
      </c>
      <c r="C234" s="111" t="s">
        <v>1592</v>
      </c>
      <c r="D234" s="111" t="s">
        <v>1593</v>
      </c>
      <c r="E234" s="111" t="s">
        <v>1594</v>
      </c>
      <c r="F234" s="112">
        <v>300.0</v>
      </c>
      <c r="G234" s="111" t="s">
        <v>2145</v>
      </c>
      <c r="H234" s="111" t="s">
        <v>419</v>
      </c>
      <c r="I234" s="111" t="s">
        <v>2146</v>
      </c>
      <c r="J234" s="111" t="s">
        <v>418</v>
      </c>
      <c r="K234" s="19" t="str">
        <f>IF(COUNTIF(bystudent!B:B, G234) &gt; 0, "yes", "no")</f>
        <v>yes</v>
      </c>
    </row>
    <row r="235" ht="18.75" customHeight="1">
      <c r="A235" s="111" t="s">
        <v>1590</v>
      </c>
      <c r="B235" s="111" t="s">
        <v>1591</v>
      </c>
      <c r="C235" s="111" t="s">
        <v>1592</v>
      </c>
      <c r="D235" s="111" t="s">
        <v>1593</v>
      </c>
      <c r="E235" s="111" t="s">
        <v>1594</v>
      </c>
      <c r="F235" s="112">
        <v>300.0</v>
      </c>
      <c r="G235" s="111" t="s">
        <v>2147</v>
      </c>
      <c r="H235" s="111" t="s">
        <v>200</v>
      </c>
      <c r="I235" s="111" t="s">
        <v>2148</v>
      </c>
      <c r="J235" s="111" t="s">
        <v>1516</v>
      </c>
      <c r="K235" s="19" t="str">
        <f>IF(COUNTIF(bystudent!B:B, G235) &gt; 0, "yes", "no")</f>
        <v>yes</v>
      </c>
    </row>
    <row r="236" ht="18.75" customHeight="1">
      <c r="A236" s="111" t="s">
        <v>1590</v>
      </c>
      <c r="B236" s="111" t="s">
        <v>1591</v>
      </c>
      <c r="C236" s="111" t="s">
        <v>1592</v>
      </c>
      <c r="D236" s="111" t="s">
        <v>1593</v>
      </c>
      <c r="E236" s="111" t="s">
        <v>1594</v>
      </c>
      <c r="F236" s="112">
        <v>300.0</v>
      </c>
      <c r="G236" s="111" t="s">
        <v>2149</v>
      </c>
      <c r="H236" s="111" t="s">
        <v>137</v>
      </c>
      <c r="I236" s="111" t="s">
        <v>2150</v>
      </c>
      <c r="J236" s="111" t="s">
        <v>136</v>
      </c>
      <c r="K236" s="19" t="str">
        <f>IF(COUNTIF(bystudent!B:B, G236) &gt; 0, "yes", "no")</f>
        <v>yes</v>
      </c>
    </row>
    <row r="237" ht="18.75" customHeight="1">
      <c r="A237" s="111" t="s">
        <v>1590</v>
      </c>
      <c r="B237" s="111" t="s">
        <v>1591</v>
      </c>
      <c r="C237" s="111" t="s">
        <v>1592</v>
      </c>
      <c r="D237" s="111" t="s">
        <v>1593</v>
      </c>
      <c r="E237" s="111" t="s">
        <v>1594</v>
      </c>
      <c r="F237" s="112">
        <v>300.0</v>
      </c>
      <c r="G237" s="111" t="s">
        <v>2151</v>
      </c>
      <c r="H237" s="111" t="s">
        <v>1042</v>
      </c>
      <c r="I237" s="111" t="s">
        <v>2152</v>
      </c>
      <c r="J237" s="111" t="s">
        <v>1041</v>
      </c>
      <c r="K237" s="19" t="str">
        <f>IF(COUNTIF(bystudent!B:B, G237) &gt; 0, "yes", "no")</f>
        <v>yes</v>
      </c>
    </row>
    <row r="238" ht="18.75" customHeight="1">
      <c r="A238" s="111" t="s">
        <v>1590</v>
      </c>
      <c r="B238" s="111" t="s">
        <v>1591</v>
      </c>
      <c r="C238" s="111" t="s">
        <v>1592</v>
      </c>
      <c r="D238" s="111" t="s">
        <v>1593</v>
      </c>
      <c r="E238" s="111" t="s">
        <v>1594</v>
      </c>
      <c r="F238" s="112">
        <v>300.0</v>
      </c>
      <c r="G238" s="111" t="s">
        <v>2153</v>
      </c>
      <c r="H238" s="111" t="s">
        <v>1254</v>
      </c>
      <c r="I238" s="111" t="s">
        <v>2154</v>
      </c>
      <c r="J238" s="111" t="s">
        <v>1253</v>
      </c>
      <c r="K238" s="19" t="str">
        <f>IF(COUNTIF(bystudent!B:B, G238) &gt; 0, "yes", "no")</f>
        <v>yes</v>
      </c>
    </row>
    <row r="239" ht="18.75" customHeight="1">
      <c r="A239" s="111" t="s">
        <v>1590</v>
      </c>
      <c r="B239" s="111" t="s">
        <v>1591</v>
      </c>
      <c r="C239" s="111" t="s">
        <v>1592</v>
      </c>
      <c r="D239" s="111" t="s">
        <v>1593</v>
      </c>
      <c r="E239" s="111" t="s">
        <v>1594</v>
      </c>
      <c r="F239" s="112">
        <v>300.0</v>
      </c>
      <c r="G239" s="111" t="s">
        <v>2155</v>
      </c>
      <c r="H239" s="111" t="s">
        <v>407</v>
      </c>
      <c r="I239" s="111" t="s">
        <v>2156</v>
      </c>
      <c r="J239" s="111" t="s">
        <v>863</v>
      </c>
      <c r="K239" s="19" t="str">
        <f>IF(COUNTIF(bystudent!B:B, G239) &gt; 0, "yes", "no")</f>
        <v>yes</v>
      </c>
    </row>
    <row r="240" ht="18.75" customHeight="1">
      <c r="A240" s="111" t="s">
        <v>1590</v>
      </c>
      <c r="B240" s="111" t="s">
        <v>1591</v>
      </c>
      <c r="C240" s="111" t="s">
        <v>1592</v>
      </c>
      <c r="D240" s="111" t="s">
        <v>1593</v>
      </c>
      <c r="E240" s="111" t="s">
        <v>1594</v>
      </c>
      <c r="F240" s="112">
        <v>300.0</v>
      </c>
      <c r="G240" s="111" t="s">
        <v>2157</v>
      </c>
      <c r="H240" s="111" t="s">
        <v>2158</v>
      </c>
      <c r="I240" s="111" t="s">
        <v>2159</v>
      </c>
      <c r="J240" s="111" t="s">
        <v>1561</v>
      </c>
      <c r="K240" s="19" t="str">
        <f>IF(COUNTIF(bystudent!B:B, G240) &gt; 0, "yes", "no")</f>
        <v>yes</v>
      </c>
    </row>
    <row r="241" ht="18.75" customHeight="1">
      <c r="A241" s="111" t="s">
        <v>1590</v>
      </c>
      <c r="B241" s="111" t="s">
        <v>1591</v>
      </c>
      <c r="C241" s="111" t="s">
        <v>1592</v>
      </c>
      <c r="D241" s="111" t="s">
        <v>1593</v>
      </c>
      <c r="E241" s="111" t="s">
        <v>1594</v>
      </c>
      <c r="F241" s="112">
        <v>300.0</v>
      </c>
      <c r="G241" s="111" t="s">
        <v>2160</v>
      </c>
      <c r="H241" s="111" t="s">
        <v>298</v>
      </c>
      <c r="I241" s="111" t="s">
        <v>2161</v>
      </c>
      <c r="J241" s="111" t="s">
        <v>1275</v>
      </c>
      <c r="K241" s="19" t="str">
        <f>IF(COUNTIF(bystudent!B:B, G241) &gt; 0, "yes", "no")</f>
        <v>yes</v>
      </c>
    </row>
    <row r="242" ht="18.75" customHeight="1">
      <c r="A242" s="111" t="s">
        <v>1590</v>
      </c>
      <c r="B242" s="111" t="s">
        <v>1591</v>
      </c>
      <c r="C242" s="111" t="s">
        <v>1592</v>
      </c>
      <c r="D242" s="111" t="s">
        <v>1593</v>
      </c>
      <c r="E242" s="111" t="s">
        <v>1594</v>
      </c>
      <c r="F242" s="112">
        <v>300.0</v>
      </c>
      <c r="G242" s="111" t="s">
        <v>2162</v>
      </c>
      <c r="H242" s="111" t="s">
        <v>1482</v>
      </c>
      <c r="I242" s="111" t="s">
        <v>2163</v>
      </c>
      <c r="J242" s="111" t="s">
        <v>1484</v>
      </c>
      <c r="K242" s="19" t="str">
        <f>IF(COUNTIF(bystudent!B:B, G242) &gt; 0, "yes", "no")</f>
        <v>yes</v>
      </c>
    </row>
    <row r="243" ht="18.75" customHeight="1">
      <c r="A243" s="111" t="s">
        <v>1590</v>
      </c>
      <c r="B243" s="111" t="s">
        <v>1591</v>
      </c>
      <c r="C243" s="111" t="s">
        <v>1592</v>
      </c>
      <c r="D243" s="111" t="s">
        <v>1593</v>
      </c>
      <c r="E243" s="111" t="s">
        <v>1594</v>
      </c>
      <c r="F243" s="112">
        <v>300.0</v>
      </c>
      <c r="G243" s="111" t="s">
        <v>2164</v>
      </c>
      <c r="H243" s="111" t="s">
        <v>92</v>
      </c>
      <c r="I243" s="111" t="s">
        <v>2165</v>
      </c>
      <c r="J243" s="111" t="s">
        <v>531</v>
      </c>
      <c r="K243" s="19" t="str">
        <f>IF(COUNTIF(bystudent!B:B, G243) &gt; 0, "yes", "no")</f>
        <v>yes</v>
      </c>
    </row>
    <row r="244" ht="18.75" customHeight="1">
      <c r="A244" s="111" t="s">
        <v>1590</v>
      </c>
      <c r="B244" s="111" t="s">
        <v>1591</v>
      </c>
      <c r="C244" s="111" t="s">
        <v>1592</v>
      </c>
      <c r="D244" s="111" t="s">
        <v>1593</v>
      </c>
      <c r="E244" s="111" t="s">
        <v>1594</v>
      </c>
      <c r="F244" s="112">
        <v>300.0</v>
      </c>
      <c r="G244" s="111" t="s">
        <v>2166</v>
      </c>
      <c r="H244" s="111" t="s">
        <v>588</v>
      </c>
      <c r="I244" s="111" t="s">
        <v>2167</v>
      </c>
      <c r="J244" s="111" t="s">
        <v>590</v>
      </c>
      <c r="K244" s="19" t="str">
        <f>IF(COUNTIF(bystudent!B:B, G244) &gt; 0, "yes", "no")</f>
        <v>yes</v>
      </c>
    </row>
    <row r="245" ht="18.75" customHeight="1">
      <c r="A245" s="111" t="s">
        <v>1590</v>
      </c>
      <c r="B245" s="111" t="s">
        <v>1591</v>
      </c>
      <c r="C245" s="111" t="s">
        <v>1592</v>
      </c>
      <c r="D245" s="111" t="s">
        <v>1593</v>
      </c>
      <c r="E245" s="111" t="s">
        <v>1594</v>
      </c>
      <c r="F245" s="112">
        <v>300.0</v>
      </c>
      <c r="G245" s="111" t="s">
        <v>2168</v>
      </c>
      <c r="H245" s="111" t="s">
        <v>79</v>
      </c>
      <c r="I245" s="111" t="s">
        <v>2169</v>
      </c>
      <c r="J245" s="111" t="s">
        <v>526</v>
      </c>
      <c r="K245" s="19" t="str">
        <f>IF(COUNTIF(bystudent!B:B, G245) &gt; 0, "yes", "no")</f>
        <v>yes</v>
      </c>
    </row>
    <row r="246" ht="18.75" customHeight="1">
      <c r="A246" s="111" t="s">
        <v>1590</v>
      </c>
      <c r="B246" s="111" t="s">
        <v>1591</v>
      </c>
      <c r="C246" s="111" t="s">
        <v>1592</v>
      </c>
      <c r="D246" s="111" t="s">
        <v>1593</v>
      </c>
      <c r="E246" s="111" t="s">
        <v>1594</v>
      </c>
      <c r="F246" s="112">
        <v>300.0</v>
      </c>
      <c r="G246" s="111" t="s">
        <v>2170</v>
      </c>
      <c r="H246" s="111" t="s">
        <v>1344</v>
      </c>
      <c r="I246" s="111" t="s">
        <v>2171</v>
      </c>
      <c r="J246" s="111" t="s">
        <v>1349</v>
      </c>
      <c r="K246" s="19" t="str">
        <f>IF(COUNTIF(bystudent!B:B, G246) &gt; 0, "yes", "no")</f>
        <v>yes</v>
      </c>
    </row>
    <row r="247" ht="18.75" customHeight="1">
      <c r="A247" s="111" t="s">
        <v>1590</v>
      </c>
      <c r="B247" s="111" t="s">
        <v>1591</v>
      </c>
      <c r="C247" s="111" t="s">
        <v>1592</v>
      </c>
      <c r="D247" s="111" t="s">
        <v>1593</v>
      </c>
      <c r="E247" s="111" t="s">
        <v>1594</v>
      </c>
      <c r="F247" s="112">
        <v>300.0</v>
      </c>
      <c r="G247" s="111" t="s">
        <v>2172</v>
      </c>
      <c r="H247" s="111" t="s">
        <v>371</v>
      </c>
      <c r="I247" s="111" t="s">
        <v>2173</v>
      </c>
      <c r="J247" s="111" t="s">
        <v>973</v>
      </c>
      <c r="K247" s="19" t="str">
        <f>IF(COUNTIF(bystudent!B:B, G247) &gt; 0, "yes", "no")</f>
        <v>yes</v>
      </c>
    </row>
    <row r="248" ht="18.75" customHeight="1">
      <c r="A248" s="111" t="s">
        <v>1590</v>
      </c>
      <c r="B248" s="111" t="s">
        <v>1591</v>
      </c>
      <c r="C248" s="111" t="s">
        <v>1592</v>
      </c>
      <c r="D248" s="111" t="s">
        <v>1593</v>
      </c>
      <c r="E248" s="111" t="s">
        <v>1594</v>
      </c>
      <c r="F248" s="112">
        <v>300.0</v>
      </c>
      <c r="G248" s="111" t="s">
        <v>2174</v>
      </c>
      <c r="H248" s="111" t="s">
        <v>331</v>
      </c>
      <c r="I248" s="111" t="s">
        <v>2175</v>
      </c>
      <c r="J248" s="111" t="s">
        <v>1030</v>
      </c>
      <c r="K248" s="19" t="str">
        <f>IF(COUNTIF(bystudent!B:B, G248) &gt; 0, "yes", "no")</f>
        <v>yes</v>
      </c>
    </row>
    <row r="249" ht="18.75" customHeight="1">
      <c r="A249" s="111" t="s">
        <v>1590</v>
      </c>
      <c r="B249" s="111" t="s">
        <v>1591</v>
      </c>
      <c r="C249" s="111" t="s">
        <v>1592</v>
      </c>
      <c r="D249" s="111" t="s">
        <v>1593</v>
      </c>
      <c r="E249" s="111" t="s">
        <v>1594</v>
      </c>
      <c r="F249" s="112">
        <v>300.0</v>
      </c>
      <c r="G249" s="111" t="s">
        <v>2176</v>
      </c>
      <c r="H249" s="111" t="s">
        <v>94</v>
      </c>
      <c r="I249" s="111" t="s">
        <v>2177</v>
      </c>
      <c r="J249" s="111" t="s">
        <v>563</v>
      </c>
      <c r="K249" s="19" t="str">
        <f>IF(COUNTIF(bystudent!B:B, G249) &gt; 0, "yes", "no")</f>
        <v>yes</v>
      </c>
    </row>
    <row r="250" ht="18.75" customHeight="1">
      <c r="A250" s="111" t="s">
        <v>1590</v>
      </c>
      <c r="B250" s="111" t="s">
        <v>1591</v>
      </c>
      <c r="C250" s="111" t="s">
        <v>1592</v>
      </c>
      <c r="D250" s="111" t="s">
        <v>1593</v>
      </c>
      <c r="E250" s="111" t="s">
        <v>1594</v>
      </c>
      <c r="F250" s="112">
        <v>300.0</v>
      </c>
      <c r="G250" s="111" t="s">
        <v>2178</v>
      </c>
      <c r="H250" s="111" t="s">
        <v>631</v>
      </c>
      <c r="I250" s="111" t="s">
        <v>2179</v>
      </c>
      <c r="J250" s="111" t="s">
        <v>633</v>
      </c>
      <c r="K250" s="19" t="str">
        <f>IF(COUNTIF(bystudent!B:B, G250) &gt; 0, "yes", "no")</f>
        <v>yes</v>
      </c>
    </row>
    <row r="251" ht="18.75" customHeight="1">
      <c r="A251" s="111" t="s">
        <v>1590</v>
      </c>
      <c r="B251" s="111" t="s">
        <v>1591</v>
      </c>
      <c r="C251" s="111" t="s">
        <v>1592</v>
      </c>
      <c r="D251" s="111" t="s">
        <v>1593</v>
      </c>
      <c r="E251" s="111" t="s">
        <v>1594</v>
      </c>
      <c r="F251" s="112">
        <v>300.0</v>
      </c>
      <c r="G251" s="111" t="s">
        <v>2180</v>
      </c>
      <c r="H251" s="111" t="s">
        <v>627</v>
      </c>
      <c r="I251" s="111" t="s">
        <v>2181</v>
      </c>
      <c r="J251" s="111" t="s">
        <v>629</v>
      </c>
      <c r="K251" s="19" t="str">
        <f>IF(COUNTIF(bystudent!B:B, G251) &gt; 0, "yes", "no")</f>
        <v>yes</v>
      </c>
    </row>
    <row r="252" ht="18.75" customHeight="1">
      <c r="A252" s="111" t="s">
        <v>1590</v>
      </c>
      <c r="B252" s="111" t="s">
        <v>1591</v>
      </c>
      <c r="C252" s="111" t="s">
        <v>1592</v>
      </c>
      <c r="D252" s="111" t="s">
        <v>1593</v>
      </c>
      <c r="E252" s="111" t="s">
        <v>1594</v>
      </c>
      <c r="F252" s="112">
        <v>300.0</v>
      </c>
      <c r="G252" s="111" t="s">
        <v>2182</v>
      </c>
      <c r="H252" s="111" t="s">
        <v>387</v>
      </c>
      <c r="I252" s="111" t="s">
        <v>2183</v>
      </c>
      <c r="J252" s="111" t="s">
        <v>1321</v>
      </c>
      <c r="K252" s="19" t="str">
        <f>IF(COUNTIF(bystudent!B:B, G252) &gt; 0, "yes", "no")</f>
        <v>yes</v>
      </c>
    </row>
    <row r="253" ht="18.75" customHeight="1">
      <c r="A253" s="111" t="s">
        <v>1590</v>
      </c>
      <c r="B253" s="111" t="s">
        <v>1591</v>
      </c>
      <c r="C253" s="111" t="s">
        <v>1592</v>
      </c>
      <c r="D253" s="111" t="s">
        <v>1593</v>
      </c>
      <c r="E253" s="111" t="s">
        <v>1594</v>
      </c>
      <c r="F253" s="112">
        <v>300.0</v>
      </c>
      <c r="G253" s="111" t="s">
        <v>2184</v>
      </c>
      <c r="H253" s="111" t="s">
        <v>848</v>
      </c>
      <c r="I253" s="111" t="s">
        <v>2185</v>
      </c>
      <c r="J253" s="111" t="s">
        <v>852</v>
      </c>
      <c r="K253" s="19" t="str">
        <f>IF(COUNTIF(bystudent!B:B, G253) &gt; 0, "yes", "no")</f>
        <v>yes</v>
      </c>
    </row>
    <row r="254" ht="18.75" customHeight="1">
      <c r="A254" s="111" t="s">
        <v>1590</v>
      </c>
      <c r="B254" s="111" t="s">
        <v>1591</v>
      </c>
      <c r="C254" s="111" t="s">
        <v>1592</v>
      </c>
      <c r="D254" s="111" t="s">
        <v>1593</v>
      </c>
      <c r="E254" s="111" t="s">
        <v>1594</v>
      </c>
      <c r="F254" s="112">
        <v>300.0</v>
      </c>
      <c r="G254" s="111" t="s">
        <v>2186</v>
      </c>
      <c r="H254" s="111" t="s">
        <v>842</v>
      </c>
      <c r="I254" s="111" t="s">
        <v>2187</v>
      </c>
      <c r="J254" s="111" t="s">
        <v>841</v>
      </c>
      <c r="K254" s="19" t="str">
        <f>IF(COUNTIF(bystudent!B:B, G254) &gt; 0, "yes", "no")</f>
        <v>yes</v>
      </c>
    </row>
    <row r="255" ht="18.75" customHeight="1">
      <c r="A255" s="111" t="s">
        <v>1590</v>
      </c>
      <c r="B255" s="111" t="s">
        <v>1591</v>
      </c>
      <c r="C255" s="111" t="s">
        <v>1592</v>
      </c>
      <c r="D255" s="111" t="s">
        <v>1593</v>
      </c>
      <c r="E255" s="111" t="s">
        <v>1594</v>
      </c>
      <c r="F255" s="112">
        <v>300.0</v>
      </c>
      <c r="G255" s="111" t="s">
        <v>2188</v>
      </c>
      <c r="H255" s="111" t="s">
        <v>251</v>
      </c>
      <c r="I255" s="111" t="s">
        <v>2189</v>
      </c>
      <c r="J255" s="111" t="s">
        <v>553</v>
      </c>
      <c r="K255" s="19" t="str">
        <f>IF(COUNTIF(bystudent!B:B, G255) &gt; 0, "yes", "no")</f>
        <v>yes</v>
      </c>
    </row>
    <row r="256" ht="18.75" customHeight="1">
      <c r="A256" s="111" t="s">
        <v>1590</v>
      </c>
      <c r="B256" s="111" t="s">
        <v>1591</v>
      </c>
      <c r="C256" s="111" t="s">
        <v>1592</v>
      </c>
      <c r="D256" s="111" t="s">
        <v>1593</v>
      </c>
      <c r="E256" s="111" t="s">
        <v>1594</v>
      </c>
      <c r="F256" s="112">
        <v>300.0</v>
      </c>
      <c r="G256" s="111" t="s">
        <v>2190</v>
      </c>
      <c r="H256" s="111" t="s">
        <v>75</v>
      </c>
      <c r="I256" s="111" t="s">
        <v>2191</v>
      </c>
      <c r="J256" s="111" t="s">
        <v>510</v>
      </c>
      <c r="K256" s="19" t="str">
        <f>IF(COUNTIF(bystudent!B:B, G256) &gt; 0, "yes", "no")</f>
        <v>yes</v>
      </c>
    </row>
    <row r="257" ht="18.75" customHeight="1">
      <c r="A257" s="111" t="s">
        <v>1590</v>
      </c>
      <c r="B257" s="111" t="s">
        <v>1591</v>
      </c>
      <c r="C257" s="111" t="s">
        <v>1592</v>
      </c>
      <c r="D257" s="111" t="s">
        <v>1593</v>
      </c>
      <c r="E257" s="111" t="s">
        <v>1594</v>
      </c>
      <c r="F257" s="112">
        <v>300.0</v>
      </c>
      <c r="G257" s="111" t="s">
        <v>2192</v>
      </c>
      <c r="H257" s="111" t="s">
        <v>1149</v>
      </c>
      <c r="I257" s="111" t="s">
        <v>2193</v>
      </c>
      <c r="J257" s="111" t="s">
        <v>1148</v>
      </c>
      <c r="K257" s="19" t="str">
        <f>IF(COUNTIF(bystudent!B:B, G257) &gt; 0, "yes", "no")</f>
        <v>yes</v>
      </c>
    </row>
    <row r="258" ht="18.75" customHeight="1">
      <c r="A258" s="111" t="s">
        <v>1590</v>
      </c>
      <c r="B258" s="111" t="s">
        <v>1591</v>
      </c>
      <c r="C258" s="111" t="s">
        <v>1592</v>
      </c>
      <c r="D258" s="111" t="s">
        <v>1593</v>
      </c>
      <c r="E258" s="111" t="s">
        <v>1594</v>
      </c>
      <c r="F258" s="112">
        <v>300.0</v>
      </c>
      <c r="G258" s="111" t="s">
        <v>2194</v>
      </c>
      <c r="H258" s="111" t="s">
        <v>1190</v>
      </c>
      <c r="I258" s="111" t="s">
        <v>2195</v>
      </c>
      <c r="J258" s="111" t="s">
        <v>1189</v>
      </c>
      <c r="K258" s="19" t="str">
        <f>IF(COUNTIF(bystudent!B:B, G258) &gt; 0, "yes", "no")</f>
        <v>yes</v>
      </c>
    </row>
    <row r="259" ht="18.75" customHeight="1">
      <c r="A259" s="111" t="s">
        <v>1590</v>
      </c>
      <c r="B259" s="111" t="s">
        <v>1591</v>
      </c>
      <c r="C259" s="111" t="s">
        <v>1592</v>
      </c>
      <c r="D259" s="111" t="s">
        <v>1593</v>
      </c>
      <c r="E259" s="111" t="s">
        <v>1594</v>
      </c>
      <c r="F259" s="112">
        <v>300.0</v>
      </c>
      <c r="G259" s="111" t="s">
        <v>2196</v>
      </c>
      <c r="H259" s="111" t="s">
        <v>295</v>
      </c>
      <c r="I259" s="111" t="s">
        <v>2197</v>
      </c>
      <c r="J259" s="111" t="s">
        <v>1429</v>
      </c>
      <c r="K259" s="19" t="str">
        <f>IF(COUNTIF(bystudent!B:B, G259) &gt; 0, "yes", "no")</f>
        <v>yes</v>
      </c>
    </row>
    <row r="260" ht="18.75" customHeight="1">
      <c r="A260" s="111" t="s">
        <v>1590</v>
      </c>
      <c r="B260" s="111" t="s">
        <v>1591</v>
      </c>
      <c r="C260" s="111" t="s">
        <v>1592</v>
      </c>
      <c r="D260" s="111" t="s">
        <v>1593</v>
      </c>
      <c r="E260" s="111" t="s">
        <v>1594</v>
      </c>
      <c r="F260" s="112">
        <v>300.0</v>
      </c>
      <c r="G260" s="111" t="s">
        <v>2198</v>
      </c>
      <c r="H260" s="111" t="s">
        <v>2199</v>
      </c>
      <c r="I260" s="111" t="s">
        <v>2200</v>
      </c>
      <c r="J260" s="111" t="s">
        <v>1966</v>
      </c>
      <c r="K260" s="19" t="str">
        <f>IF(COUNTIF(bystudent!B:B, G260) &gt; 0, "yes", "no")</f>
        <v>yes</v>
      </c>
    </row>
    <row r="261" ht="18.75" customHeight="1">
      <c r="A261" s="111" t="s">
        <v>1590</v>
      </c>
      <c r="B261" s="111" t="s">
        <v>1591</v>
      </c>
      <c r="C261" s="111" t="s">
        <v>1592</v>
      </c>
      <c r="D261" s="111" t="s">
        <v>1593</v>
      </c>
      <c r="E261" s="111" t="s">
        <v>1594</v>
      </c>
      <c r="F261" s="112">
        <v>300.0</v>
      </c>
      <c r="G261" s="111" t="s">
        <v>2201</v>
      </c>
      <c r="H261" s="111" t="s">
        <v>1327</v>
      </c>
      <c r="I261" s="111" t="s">
        <v>2202</v>
      </c>
      <c r="J261" s="111" t="s">
        <v>1329</v>
      </c>
      <c r="K261" s="19" t="str">
        <f>IF(COUNTIF(bystudent!B:B, G261) &gt; 0, "yes", "no")</f>
        <v>yes</v>
      </c>
    </row>
    <row r="262" ht="18.75" customHeight="1">
      <c r="A262" s="111" t="s">
        <v>1590</v>
      </c>
      <c r="B262" s="111" t="s">
        <v>1591</v>
      </c>
      <c r="C262" s="111" t="s">
        <v>1592</v>
      </c>
      <c r="D262" s="111" t="s">
        <v>1593</v>
      </c>
      <c r="E262" s="111" t="s">
        <v>1594</v>
      </c>
      <c r="F262" s="112">
        <v>300.0</v>
      </c>
      <c r="G262" s="111" t="s">
        <v>2203</v>
      </c>
      <c r="H262" s="111" t="s">
        <v>127</v>
      </c>
      <c r="I262" s="111" t="s">
        <v>2204</v>
      </c>
      <c r="J262" s="111" t="s">
        <v>712</v>
      </c>
      <c r="K262" s="19" t="str">
        <f>IF(COUNTIF(bystudent!B:B, G262) &gt; 0, "yes", "no")</f>
        <v>yes</v>
      </c>
    </row>
    <row r="263" ht="18.75" customHeight="1">
      <c r="A263" s="111" t="s">
        <v>1590</v>
      </c>
      <c r="B263" s="111" t="s">
        <v>1591</v>
      </c>
      <c r="C263" s="111" t="s">
        <v>1592</v>
      </c>
      <c r="D263" s="111" t="s">
        <v>1593</v>
      </c>
      <c r="E263" s="111" t="s">
        <v>1594</v>
      </c>
      <c r="F263" s="112">
        <v>300.0</v>
      </c>
      <c r="G263" s="111" t="s">
        <v>2205</v>
      </c>
      <c r="H263" s="111" t="s">
        <v>708</v>
      </c>
      <c r="I263" s="111" t="s">
        <v>2206</v>
      </c>
      <c r="J263" s="111" t="s">
        <v>2207</v>
      </c>
      <c r="K263" s="19" t="str">
        <f>IF(COUNTIF(bystudent!B:B, G263) &gt; 0, "yes", "no")</f>
        <v>yes</v>
      </c>
    </row>
    <row r="264" ht="18.75" customHeight="1">
      <c r="A264" s="111" t="s">
        <v>1590</v>
      </c>
      <c r="B264" s="111" t="s">
        <v>1591</v>
      </c>
      <c r="C264" s="111" t="s">
        <v>1592</v>
      </c>
      <c r="D264" s="111" t="s">
        <v>1593</v>
      </c>
      <c r="E264" s="111" t="s">
        <v>1594</v>
      </c>
      <c r="F264" s="112">
        <v>300.0</v>
      </c>
      <c r="G264" s="111" t="s">
        <v>2210</v>
      </c>
      <c r="H264" s="111" t="s">
        <v>258</v>
      </c>
      <c r="I264" s="111" t="s">
        <v>2211</v>
      </c>
      <c r="J264" s="111" t="s">
        <v>1277</v>
      </c>
      <c r="K264" s="19" t="str">
        <f>IF(COUNTIF(bystudent!B:B, G264) &gt; 0, "yes", "no")</f>
        <v>yes</v>
      </c>
    </row>
    <row r="265" ht="18.75" customHeight="1">
      <c r="A265" s="111" t="s">
        <v>1590</v>
      </c>
      <c r="B265" s="111" t="s">
        <v>1591</v>
      </c>
      <c r="C265" s="111" t="s">
        <v>1592</v>
      </c>
      <c r="D265" s="111" t="s">
        <v>1593</v>
      </c>
      <c r="E265" s="111" t="s">
        <v>1594</v>
      </c>
      <c r="F265" s="112">
        <v>300.0</v>
      </c>
      <c r="G265" s="111" t="s">
        <v>2212</v>
      </c>
      <c r="H265" s="111" t="s">
        <v>385</v>
      </c>
      <c r="I265" s="111" t="s">
        <v>2213</v>
      </c>
      <c r="J265" s="111" t="s">
        <v>1500</v>
      </c>
      <c r="K265" s="19" t="str">
        <f>IF(COUNTIF(bystudent!B:B, G265) &gt; 0, "yes", "no")</f>
        <v>yes</v>
      </c>
    </row>
    <row r="266" ht="18.75" customHeight="1">
      <c r="A266" s="111" t="s">
        <v>1590</v>
      </c>
      <c r="B266" s="111" t="s">
        <v>1591</v>
      </c>
      <c r="C266" s="111" t="s">
        <v>1592</v>
      </c>
      <c r="D266" s="111" t="s">
        <v>1593</v>
      </c>
      <c r="E266" s="111" t="s">
        <v>1594</v>
      </c>
      <c r="F266" s="112">
        <v>300.0</v>
      </c>
      <c r="G266" s="111" t="s">
        <v>2214</v>
      </c>
      <c r="H266" s="111" t="s">
        <v>1404</v>
      </c>
      <c r="I266" s="111" t="s">
        <v>2215</v>
      </c>
      <c r="J266" s="111" t="s">
        <v>1403</v>
      </c>
      <c r="K266" s="19" t="str">
        <f>IF(COUNTIF(bystudent!B:B, G266) &gt; 0, "yes", "no")</f>
        <v>yes</v>
      </c>
    </row>
    <row r="267" ht="18.75" customHeight="1">
      <c r="A267" s="111" t="s">
        <v>1590</v>
      </c>
      <c r="B267" s="111" t="s">
        <v>1591</v>
      </c>
      <c r="C267" s="111" t="s">
        <v>1592</v>
      </c>
      <c r="D267" s="111" t="s">
        <v>1593</v>
      </c>
      <c r="E267" s="111" t="s">
        <v>1594</v>
      </c>
      <c r="F267" s="112">
        <v>300.0</v>
      </c>
      <c r="G267" s="111" t="s">
        <v>2216</v>
      </c>
      <c r="H267" s="111" t="s">
        <v>2217</v>
      </c>
      <c r="I267" s="111" t="s">
        <v>2218</v>
      </c>
      <c r="J267" s="111" t="s">
        <v>1537</v>
      </c>
      <c r="K267" s="19" t="str">
        <f>IF(COUNTIF(bystudent!B:B, G267) &gt; 0, "yes", "no")</f>
        <v>yes</v>
      </c>
    </row>
    <row r="268" ht="18.75" customHeight="1">
      <c r="A268" s="111" t="s">
        <v>1590</v>
      </c>
      <c r="B268" s="111" t="s">
        <v>1591</v>
      </c>
      <c r="C268" s="111" t="s">
        <v>1592</v>
      </c>
      <c r="D268" s="111" t="s">
        <v>1593</v>
      </c>
      <c r="E268" s="111" t="s">
        <v>1594</v>
      </c>
      <c r="F268" s="112">
        <v>300.0</v>
      </c>
      <c r="G268" s="111" t="s">
        <v>2219</v>
      </c>
      <c r="H268" s="111" t="s">
        <v>174</v>
      </c>
      <c r="I268" s="111" t="s">
        <v>2220</v>
      </c>
      <c r="J268" s="111" t="s">
        <v>787</v>
      </c>
      <c r="K268" s="19" t="str">
        <f>IF(COUNTIF(bystudent!B:B, G268) &gt; 0, "yes", "no")</f>
        <v>yes</v>
      </c>
    </row>
    <row r="269" ht="18.75" customHeight="1">
      <c r="A269" s="111" t="s">
        <v>1590</v>
      </c>
      <c r="B269" s="111" t="s">
        <v>1591</v>
      </c>
      <c r="C269" s="111" t="s">
        <v>1592</v>
      </c>
      <c r="D269" s="111" t="s">
        <v>1593</v>
      </c>
      <c r="E269" s="111" t="s">
        <v>1594</v>
      </c>
      <c r="F269" s="112">
        <v>300.0</v>
      </c>
      <c r="G269" s="111" t="s">
        <v>2221</v>
      </c>
      <c r="H269" s="111" t="s">
        <v>1258</v>
      </c>
      <c r="I269" s="111" t="s">
        <v>2222</v>
      </c>
      <c r="J269" s="111" t="s">
        <v>1257</v>
      </c>
      <c r="K269" s="19" t="str">
        <f>IF(COUNTIF(bystudent!B:B, G269) &gt; 0, "yes", "no")</f>
        <v>yes</v>
      </c>
    </row>
    <row r="270" ht="18.75" customHeight="1">
      <c r="A270" s="111" t="s">
        <v>1590</v>
      </c>
      <c r="B270" s="111" t="s">
        <v>1591</v>
      </c>
      <c r="C270" s="111" t="s">
        <v>1592</v>
      </c>
      <c r="D270" s="111" t="s">
        <v>1593</v>
      </c>
      <c r="E270" s="111" t="s">
        <v>1594</v>
      </c>
      <c r="F270" s="112">
        <v>300.0</v>
      </c>
      <c r="G270" s="111" t="s">
        <v>2223</v>
      </c>
      <c r="H270" s="111" t="s">
        <v>1372</v>
      </c>
      <c r="I270" s="111" t="s">
        <v>2224</v>
      </c>
      <c r="J270" s="111" t="s">
        <v>1374</v>
      </c>
      <c r="K270" s="19" t="str">
        <f>IF(COUNTIF(bystudent!B:B, G270) &gt; 0, "yes", "no")</f>
        <v>yes</v>
      </c>
    </row>
    <row r="271" ht="18.75" customHeight="1">
      <c r="A271" s="111" t="s">
        <v>1590</v>
      </c>
      <c r="B271" s="111" t="s">
        <v>1591</v>
      </c>
      <c r="C271" s="111" t="s">
        <v>1592</v>
      </c>
      <c r="D271" s="111" t="s">
        <v>1593</v>
      </c>
      <c r="E271" s="111" t="s">
        <v>1594</v>
      </c>
      <c r="F271" s="112">
        <v>300.0</v>
      </c>
      <c r="G271" s="111" t="s">
        <v>2225</v>
      </c>
      <c r="H271" s="111" t="s">
        <v>413</v>
      </c>
      <c r="I271" s="111" t="s">
        <v>2226</v>
      </c>
      <c r="J271" s="111" t="s">
        <v>412</v>
      </c>
      <c r="K271" s="19" t="str">
        <f>IF(COUNTIF(bystudent!B:B, G271) &gt; 0, "yes", "no")</f>
        <v>yes</v>
      </c>
    </row>
    <row r="272" ht="18.75" customHeight="1">
      <c r="A272" s="111" t="s">
        <v>1590</v>
      </c>
      <c r="B272" s="111" t="s">
        <v>1591</v>
      </c>
      <c r="C272" s="111" t="s">
        <v>1592</v>
      </c>
      <c r="D272" s="111" t="s">
        <v>1593</v>
      </c>
      <c r="E272" s="111" t="s">
        <v>1594</v>
      </c>
      <c r="F272" s="112">
        <v>300.0</v>
      </c>
      <c r="G272" s="111" t="s">
        <v>2227</v>
      </c>
      <c r="H272" s="111" t="s">
        <v>99</v>
      </c>
      <c r="I272" s="111" t="s">
        <v>2228</v>
      </c>
      <c r="J272" s="111" t="s">
        <v>1139</v>
      </c>
      <c r="K272" s="19" t="str">
        <f>IF(COUNTIF(bystudent!B:B, G272) &gt; 0, "yes", "no")</f>
        <v>yes</v>
      </c>
    </row>
    <row r="273" ht="18.75" customHeight="1">
      <c r="A273" s="111" t="s">
        <v>1590</v>
      </c>
      <c r="B273" s="111" t="s">
        <v>1591</v>
      </c>
      <c r="C273" s="111" t="s">
        <v>1592</v>
      </c>
      <c r="D273" s="111" t="s">
        <v>1593</v>
      </c>
      <c r="E273" s="111" t="s">
        <v>1594</v>
      </c>
      <c r="F273" s="112">
        <v>300.0</v>
      </c>
      <c r="G273" s="111" t="s">
        <v>2229</v>
      </c>
      <c r="H273" s="111" t="s">
        <v>173</v>
      </c>
      <c r="I273" s="111" t="s">
        <v>2230</v>
      </c>
      <c r="J273" s="111" t="s">
        <v>779</v>
      </c>
      <c r="K273" s="19" t="str">
        <f>IF(COUNTIF(bystudent!B:B, G273) &gt; 0, "yes", "no")</f>
        <v>yes</v>
      </c>
    </row>
    <row r="274" ht="18.75" customHeight="1">
      <c r="A274" s="111" t="s">
        <v>1590</v>
      </c>
      <c r="B274" s="111" t="s">
        <v>1591</v>
      </c>
      <c r="C274" s="111" t="s">
        <v>1592</v>
      </c>
      <c r="D274" s="111" t="s">
        <v>1593</v>
      </c>
      <c r="E274" s="111" t="s">
        <v>1594</v>
      </c>
      <c r="F274" s="112">
        <v>300.0</v>
      </c>
      <c r="G274" s="111" t="s">
        <v>2231</v>
      </c>
      <c r="H274" s="111" t="s">
        <v>268</v>
      </c>
      <c r="I274" s="111" t="s">
        <v>2232</v>
      </c>
      <c r="J274" s="111" t="s">
        <v>1228</v>
      </c>
      <c r="K274" s="19" t="str">
        <f>IF(COUNTIF(bystudent!B:B, G274) &gt; 0, "yes", "no")</f>
        <v>yes</v>
      </c>
    </row>
    <row r="275" ht="18.75" customHeight="1">
      <c r="A275" s="111" t="s">
        <v>1590</v>
      </c>
      <c r="B275" s="111" t="s">
        <v>1591</v>
      </c>
      <c r="C275" s="111" t="s">
        <v>1592</v>
      </c>
      <c r="D275" s="111" t="s">
        <v>1593</v>
      </c>
      <c r="E275" s="111" t="s">
        <v>1594</v>
      </c>
      <c r="F275" s="112">
        <v>300.0</v>
      </c>
      <c r="G275" s="111" t="s">
        <v>2233</v>
      </c>
      <c r="H275" s="111" t="s">
        <v>204</v>
      </c>
      <c r="I275" s="111" t="s">
        <v>2234</v>
      </c>
      <c r="J275" s="111" t="s">
        <v>772</v>
      </c>
      <c r="K275" s="19" t="str">
        <f>IF(COUNTIF(bystudent!B:B, G275) &gt; 0, "yes", "no")</f>
        <v>yes</v>
      </c>
    </row>
    <row r="276" ht="18.75" customHeight="1">
      <c r="A276" s="111" t="s">
        <v>1590</v>
      </c>
      <c r="B276" s="111" t="s">
        <v>1591</v>
      </c>
      <c r="C276" s="111" t="s">
        <v>1592</v>
      </c>
      <c r="D276" s="111" t="s">
        <v>1593</v>
      </c>
      <c r="E276" s="111" t="s">
        <v>1594</v>
      </c>
      <c r="F276" s="112">
        <v>300.0</v>
      </c>
      <c r="G276" s="111" t="s">
        <v>2235</v>
      </c>
      <c r="H276" s="111" t="s">
        <v>646</v>
      </c>
      <c r="I276" s="111" t="s">
        <v>2236</v>
      </c>
      <c r="J276" s="111" t="s">
        <v>648</v>
      </c>
      <c r="K276" s="19" t="str">
        <f>IF(COUNTIF(bystudent!B:B, G276) &gt; 0, "yes", "no")</f>
        <v>yes</v>
      </c>
    </row>
    <row r="277" ht="18.75" customHeight="1">
      <c r="A277" s="111" t="s">
        <v>1590</v>
      </c>
      <c r="B277" s="111" t="s">
        <v>1591</v>
      </c>
      <c r="C277" s="111" t="s">
        <v>1592</v>
      </c>
      <c r="D277" s="111" t="s">
        <v>1593</v>
      </c>
      <c r="E277" s="111" t="s">
        <v>1594</v>
      </c>
      <c r="F277" s="112">
        <v>300.0</v>
      </c>
      <c r="G277" s="111" t="s">
        <v>2237</v>
      </c>
      <c r="H277" s="111" t="s">
        <v>239</v>
      </c>
      <c r="I277" s="111" t="s">
        <v>2238</v>
      </c>
      <c r="J277" s="111" t="s">
        <v>1201</v>
      </c>
      <c r="K277" s="19" t="str">
        <f>IF(COUNTIF(bystudent!B:B, G277) &gt; 0, "yes", "no")</f>
        <v>yes</v>
      </c>
    </row>
    <row r="278" ht="18.75" customHeight="1">
      <c r="A278" s="111" t="s">
        <v>1590</v>
      </c>
      <c r="B278" s="111" t="s">
        <v>1591</v>
      </c>
      <c r="C278" s="111" t="s">
        <v>1592</v>
      </c>
      <c r="D278" s="111" t="s">
        <v>1593</v>
      </c>
      <c r="E278" s="111" t="s">
        <v>1594</v>
      </c>
      <c r="F278" s="112">
        <v>300.0</v>
      </c>
      <c r="G278" s="111" t="s">
        <v>2239</v>
      </c>
      <c r="H278" s="111" t="s">
        <v>618</v>
      </c>
      <c r="I278" s="111" t="s">
        <v>2240</v>
      </c>
      <c r="J278" s="111" t="s">
        <v>626</v>
      </c>
      <c r="K278" s="19" t="str">
        <f>IF(COUNTIF(bystudent!B:B, G278) &gt; 0, "yes", "no")</f>
        <v>yes</v>
      </c>
    </row>
    <row r="279" ht="18.75" customHeight="1">
      <c r="A279" s="111" t="s">
        <v>1590</v>
      </c>
      <c r="B279" s="111" t="s">
        <v>1591</v>
      </c>
      <c r="C279" s="111" t="s">
        <v>1592</v>
      </c>
      <c r="D279" s="111" t="s">
        <v>1593</v>
      </c>
      <c r="E279" s="111" t="s">
        <v>1594</v>
      </c>
      <c r="F279" s="112">
        <v>300.0</v>
      </c>
      <c r="G279" s="111" t="s">
        <v>2241</v>
      </c>
      <c r="H279" s="111" t="s">
        <v>389</v>
      </c>
      <c r="I279" s="111" t="s">
        <v>2242</v>
      </c>
      <c r="J279" s="111" t="s">
        <v>1320</v>
      </c>
      <c r="K279" s="19" t="str">
        <f>IF(COUNTIF(bystudent!B:B, G279) &gt; 0, "yes", "no")</f>
        <v>yes</v>
      </c>
    </row>
    <row r="280" ht="18.75" customHeight="1">
      <c r="A280" s="111" t="s">
        <v>1590</v>
      </c>
      <c r="B280" s="111" t="s">
        <v>1591</v>
      </c>
      <c r="C280" s="111" t="s">
        <v>1592</v>
      </c>
      <c r="D280" s="111" t="s">
        <v>1593</v>
      </c>
      <c r="E280" s="111" t="s">
        <v>1594</v>
      </c>
      <c r="F280" s="112">
        <v>300.0</v>
      </c>
      <c r="G280" s="111" t="s">
        <v>2243</v>
      </c>
      <c r="H280" s="111" t="s">
        <v>128</v>
      </c>
      <c r="I280" s="111" t="s">
        <v>2244</v>
      </c>
      <c r="J280" s="111" t="s">
        <v>679</v>
      </c>
      <c r="K280" s="19" t="str">
        <f>IF(COUNTIF(bystudent!B:B, G280) &gt; 0, "yes", "no")</f>
        <v>yes</v>
      </c>
    </row>
    <row r="281" ht="18.75" customHeight="1">
      <c r="A281" s="111" t="s">
        <v>1590</v>
      </c>
      <c r="B281" s="111" t="s">
        <v>1591</v>
      </c>
      <c r="C281" s="111" t="s">
        <v>1592</v>
      </c>
      <c r="D281" s="111" t="s">
        <v>1593</v>
      </c>
      <c r="E281" s="111" t="s">
        <v>1594</v>
      </c>
      <c r="F281" s="112">
        <v>300.0</v>
      </c>
      <c r="G281" s="111" t="s">
        <v>2245</v>
      </c>
      <c r="H281" s="111" t="s">
        <v>330</v>
      </c>
      <c r="I281" s="111" t="s">
        <v>2246</v>
      </c>
      <c r="J281" s="111" t="s">
        <v>1162</v>
      </c>
      <c r="K281" s="19" t="str">
        <f>IF(COUNTIF(bystudent!B:B, G281) &gt; 0, "yes", "no")</f>
        <v>yes</v>
      </c>
    </row>
    <row r="282" ht="18.75" customHeight="1">
      <c r="A282" s="111" t="s">
        <v>1590</v>
      </c>
      <c r="B282" s="111" t="s">
        <v>1591</v>
      </c>
      <c r="C282" s="111" t="s">
        <v>1592</v>
      </c>
      <c r="D282" s="111" t="s">
        <v>1593</v>
      </c>
      <c r="E282" s="111" t="s">
        <v>1594</v>
      </c>
      <c r="F282" s="112">
        <v>300.0</v>
      </c>
      <c r="G282" s="111" t="s">
        <v>2247</v>
      </c>
      <c r="H282" s="111" t="s">
        <v>391</v>
      </c>
      <c r="I282" s="111" t="s">
        <v>2248</v>
      </c>
      <c r="J282" s="111" t="s">
        <v>1342</v>
      </c>
      <c r="K282" s="19" t="str">
        <f>IF(COUNTIF(bystudent!B:B, G282) &gt; 0, "yes", "no")</f>
        <v>yes</v>
      </c>
    </row>
    <row r="283" ht="18.75" customHeight="1">
      <c r="A283" s="111" t="s">
        <v>1590</v>
      </c>
      <c r="B283" s="111" t="s">
        <v>1591</v>
      </c>
      <c r="C283" s="111" t="s">
        <v>1592</v>
      </c>
      <c r="D283" s="111" t="s">
        <v>1593</v>
      </c>
      <c r="E283" s="111" t="s">
        <v>1594</v>
      </c>
      <c r="F283" s="112">
        <v>300.0</v>
      </c>
      <c r="G283" s="111" t="s">
        <v>2249</v>
      </c>
      <c r="H283" s="111" t="s">
        <v>1477</v>
      </c>
      <c r="I283" s="111" t="s">
        <v>2250</v>
      </c>
      <c r="J283" s="111" t="s">
        <v>1479</v>
      </c>
      <c r="K283" s="19" t="str">
        <f>IF(COUNTIF(bystudent!B:B, G283) &gt; 0, "yes", "no")</f>
        <v>yes</v>
      </c>
    </row>
    <row r="284" ht="18.75" customHeight="1">
      <c r="A284" s="111" t="s">
        <v>1590</v>
      </c>
      <c r="B284" s="111" t="s">
        <v>1591</v>
      </c>
      <c r="C284" s="111" t="s">
        <v>1592</v>
      </c>
      <c r="D284" s="111" t="s">
        <v>1593</v>
      </c>
      <c r="E284" s="111" t="s">
        <v>1594</v>
      </c>
      <c r="F284" s="112">
        <v>300.0</v>
      </c>
      <c r="G284" s="111" t="s">
        <v>2251</v>
      </c>
      <c r="H284" s="111" t="s">
        <v>1078</v>
      </c>
      <c r="I284" s="111" t="s">
        <v>2252</v>
      </c>
      <c r="J284" s="111" t="s">
        <v>1077</v>
      </c>
      <c r="K284" s="19" t="str">
        <f>IF(COUNTIF(bystudent!B:B, G284) &gt; 0, "yes", "no")</f>
        <v>yes</v>
      </c>
    </row>
    <row r="285" ht="18.75" customHeight="1">
      <c r="A285" s="111" t="s">
        <v>1590</v>
      </c>
      <c r="B285" s="111" t="s">
        <v>1591</v>
      </c>
      <c r="C285" s="111" t="s">
        <v>1592</v>
      </c>
      <c r="D285" s="111" t="s">
        <v>1593</v>
      </c>
      <c r="E285" s="111" t="s">
        <v>1594</v>
      </c>
      <c r="F285" s="112">
        <v>300.0</v>
      </c>
      <c r="G285" s="111" t="s">
        <v>2253</v>
      </c>
      <c r="H285" s="111" t="s">
        <v>1283</v>
      </c>
      <c r="I285" s="111" t="s">
        <v>2254</v>
      </c>
      <c r="J285" s="111" t="s">
        <v>1282</v>
      </c>
      <c r="K285" s="19" t="str">
        <f>IF(COUNTIF(bystudent!B:B, G285) &gt; 0, "yes", "no")</f>
        <v>yes</v>
      </c>
    </row>
    <row r="286" ht="18.75" customHeight="1">
      <c r="A286" s="111" t="s">
        <v>1590</v>
      </c>
      <c r="B286" s="111" t="s">
        <v>1591</v>
      </c>
      <c r="C286" s="111" t="s">
        <v>1592</v>
      </c>
      <c r="D286" s="111" t="s">
        <v>1593</v>
      </c>
      <c r="E286" s="111" t="s">
        <v>1594</v>
      </c>
      <c r="F286" s="112">
        <v>300.0</v>
      </c>
      <c r="G286" s="111" t="s">
        <v>2255</v>
      </c>
      <c r="H286" s="111" t="s">
        <v>1365</v>
      </c>
      <c r="I286" s="111" t="s">
        <v>2256</v>
      </c>
      <c r="J286" s="111" t="s">
        <v>1364</v>
      </c>
      <c r="K286" s="19" t="str">
        <f>IF(COUNTIF(bystudent!B:B, G286) &gt; 0, "yes", "no")</f>
        <v>yes</v>
      </c>
    </row>
    <row r="287" ht="18.75" customHeight="1">
      <c r="A287" s="111" t="s">
        <v>1590</v>
      </c>
      <c r="B287" s="111" t="s">
        <v>1591</v>
      </c>
      <c r="C287" s="111" t="s">
        <v>1592</v>
      </c>
      <c r="D287" s="111" t="s">
        <v>1593</v>
      </c>
      <c r="E287" s="111" t="s">
        <v>1594</v>
      </c>
      <c r="F287" s="112">
        <v>300.0</v>
      </c>
      <c r="G287" s="111" t="s">
        <v>2257</v>
      </c>
      <c r="H287" s="111" t="s">
        <v>152</v>
      </c>
      <c r="I287" s="111" t="s">
        <v>2258</v>
      </c>
      <c r="J287" s="111" t="s">
        <v>1459</v>
      </c>
      <c r="K287" s="19" t="str">
        <f>IF(COUNTIF(bystudent!B:B, G287) &gt; 0, "yes", "no")</f>
        <v>yes</v>
      </c>
    </row>
    <row r="288" ht="18.75" customHeight="1">
      <c r="A288" s="111" t="s">
        <v>1590</v>
      </c>
      <c r="B288" s="111" t="s">
        <v>1591</v>
      </c>
      <c r="C288" s="111" t="s">
        <v>1592</v>
      </c>
      <c r="D288" s="111" t="s">
        <v>1593</v>
      </c>
      <c r="E288" s="111" t="s">
        <v>1594</v>
      </c>
      <c r="F288" s="112">
        <v>300.0</v>
      </c>
      <c r="G288" s="111" t="s">
        <v>2259</v>
      </c>
      <c r="H288" s="111" t="s">
        <v>337</v>
      </c>
      <c r="I288" s="111" t="s">
        <v>2260</v>
      </c>
      <c r="J288" s="111" t="s">
        <v>549</v>
      </c>
      <c r="K288" s="19" t="str">
        <f>IF(COUNTIF(bystudent!B:B, G288) &gt; 0, "yes", "no")</f>
        <v>yes</v>
      </c>
    </row>
    <row r="289" ht="18.75" customHeight="1">
      <c r="A289" s="111" t="s">
        <v>1590</v>
      </c>
      <c r="B289" s="111" t="s">
        <v>1591</v>
      </c>
      <c r="C289" s="111" t="s">
        <v>1592</v>
      </c>
      <c r="D289" s="111" t="s">
        <v>1593</v>
      </c>
      <c r="E289" s="111" t="s">
        <v>1594</v>
      </c>
      <c r="F289" s="112">
        <v>300.0</v>
      </c>
      <c r="G289" s="111" t="s">
        <v>2261</v>
      </c>
      <c r="H289" s="111" t="s">
        <v>184</v>
      </c>
      <c r="I289" s="111" t="s">
        <v>2262</v>
      </c>
      <c r="J289" s="111" t="s">
        <v>889</v>
      </c>
      <c r="K289" s="19" t="str">
        <f>IF(COUNTIF(bystudent!B:B, G289) &gt; 0, "yes", "no")</f>
        <v>yes</v>
      </c>
    </row>
    <row r="290" ht="18.75" customHeight="1">
      <c r="A290" s="111" t="s">
        <v>1590</v>
      </c>
      <c r="B290" s="111" t="s">
        <v>1591</v>
      </c>
      <c r="C290" s="111" t="s">
        <v>1592</v>
      </c>
      <c r="D290" s="111" t="s">
        <v>1593</v>
      </c>
      <c r="E290" s="111" t="s">
        <v>1594</v>
      </c>
      <c r="F290" s="112">
        <v>300.0</v>
      </c>
      <c r="G290" s="111" t="s">
        <v>2263</v>
      </c>
      <c r="H290" s="111" t="s">
        <v>122</v>
      </c>
      <c r="I290" s="111" t="s">
        <v>2264</v>
      </c>
      <c r="J290" s="111" t="s">
        <v>1158</v>
      </c>
      <c r="K290" s="19" t="str">
        <f>IF(COUNTIF(bystudent!B:B, G290) &gt; 0, "yes", "no")</f>
        <v>yes</v>
      </c>
    </row>
    <row r="291" ht="18.75" customHeight="1">
      <c r="A291" s="111" t="s">
        <v>1590</v>
      </c>
      <c r="B291" s="111" t="s">
        <v>1591</v>
      </c>
      <c r="C291" s="111" t="s">
        <v>1592</v>
      </c>
      <c r="D291" s="111" t="s">
        <v>1593</v>
      </c>
      <c r="E291" s="111" t="s">
        <v>1594</v>
      </c>
      <c r="F291" s="112">
        <v>300.0</v>
      </c>
      <c r="G291" s="111" t="s">
        <v>2265</v>
      </c>
      <c r="H291" s="111" t="s">
        <v>89</v>
      </c>
      <c r="I291" s="111" t="s">
        <v>2266</v>
      </c>
      <c r="J291" s="111" t="s">
        <v>86</v>
      </c>
      <c r="K291" s="19" t="str">
        <f>IF(COUNTIF(bystudent!B:B, G291) &gt; 0, "yes", "no")</f>
        <v>yes</v>
      </c>
    </row>
    <row r="292" ht="18.75" customHeight="1">
      <c r="A292" s="111" t="s">
        <v>1590</v>
      </c>
      <c r="B292" s="111" t="s">
        <v>1591</v>
      </c>
      <c r="C292" s="111" t="s">
        <v>1592</v>
      </c>
      <c r="D292" s="111" t="s">
        <v>1593</v>
      </c>
      <c r="E292" s="111" t="s">
        <v>1594</v>
      </c>
      <c r="F292" s="112">
        <v>300.0</v>
      </c>
      <c r="G292" s="111" t="s">
        <v>2267</v>
      </c>
      <c r="H292" s="111" t="s">
        <v>835</v>
      </c>
      <c r="I292" s="111" t="s">
        <v>2268</v>
      </c>
      <c r="J292" s="111" t="s">
        <v>834</v>
      </c>
      <c r="K292" s="19" t="str">
        <f>IF(COUNTIF(bystudent!B:B, G292) &gt; 0, "yes", "no")</f>
        <v>yes</v>
      </c>
    </row>
    <row r="293" ht="18.75" customHeight="1">
      <c r="A293" s="111" t="s">
        <v>1590</v>
      </c>
      <c r="B293" s="111" t="s">
        <v>1591</v>
      </c>
      <c r="C293" s="111" t="s">
        <v>1592</v>
      </c>
      <c r="D293" s="111" t="s">
        <v>1593</v>
      </c>
      <c r="E293" s="111" t="s">
        <v>1594</v>
      </c>
      <c r="F293" s="112">
        <v>300.0</v>
      </c>
      <c r="G293" s="111" t="s">
        <v>2269</v>
      </c>
      <c r="H293" s="111" t="s">
        <v>334</v>
      </c>
      <c r="I293" s="111" t="s">
        <v>2270</v>
      </c>
      <c r="J293" s="111" t="s">
        <v>865</v>
      </c>
      <c r="K293" s="19" t="str">
        <f>IF(COUNTIF(bystudent!B:B, G293) &gt; 0, "yes", "no")</f>
        <v>yes</v>
      </c>
    </row>
    <row r="294" ht="18.75" customHeight="1">
      <c r="A294" s="111" t="s">
        <v>1590</v>
      </c>
      <c r="B294" s="111" t="s">
        <v>1591</v>
      </c>
      <c r="C294" s="111" t="s">
        <v>1592</v>
      </c>
      <c r="D294" s="111" t="s">
        <v>1593</v>
      </c>
      <c r="E294" s="111" t="s">
        <v>1594</v>
      </c>
      <c r="F294" s="112">
        <v>300.0</v>
      </c>
      <c r="G294" s="111" t="s">
        <v>2271</v>
      </c>
      <c r="H294" s="111" t="s">
        <v>327</v>
      </c>
      <c r="I294" s="111" t="s">
        <v>2272</v>
      </c>
      <c r="J294" s="111" t="s">
        <v>1269</v>
      </c>
      <c r="K294" s="19" t="str">
        <f>IF(COUNTIF(bystudent!B:B, G294) &gt; 0, "yes", "no")</f>
        <v>yes</v>
      </c>
    </row>
    <row r="295" ht="18.75" customHeight="1">
      <c r="A295" s="111" t="s">
        <v>1590</v>
      </c>
      <c r="B295" s="111" t="s">
        <v>1591</v>
      </c>
      <c r="C295" s="111" t="s">
        <v>1592</v>
      </c>
      <c r="D295" s="111" t="s">
        <v>1593</v>
      </c>
      <c r="E295" s="111" t="s">
        <v>1594</v>
      </c>
      <c r="F295" s="112">
        <v>300.0</v>
      </c>
      <c r="G295" s="111" t="s">
        <v>2273</v>
      </c>
      <c r="H295" s="111" t="s">
        <v>231</v>
      </c>
      <c r="I295" s="111" t="s">
        <v>2274</v>
      </c>
      <c r="J295" s="111" t="s">
        <v>1182</v>
      </c>
      <c r="K295" s="19" t="str">
        <f>IF(COUNTIF(bystudent!B:B, G295) &gt; 0, "yes", "no")</f>
        <v>yes</v>
      </c>
    </row>
    <row r="296" ht="18.75" hidden="1" customHeight="1">
      <c r="A296" s="111" t="s">
        <v>1590</v>
      </c>
      <c r="B296" s="111" t="s">
        <v>2275</v>
      </c>
      <c r="C296" s="111" t="s">
        <v>2276</v>
      </c>
      <c r="D296" s="111" t="s">
        <v>1593</v>
      </c>
      <c r="E296" s="111" t="s">
        <v>1594</v>
      </c>
      <c r="F296" s="112">
        <v>300.0</v>
      </c>
      <c r="G296" s="111" t="s">
        <v>1622</v>
      </c>
      <c r="H296" s="111" t="s">
        <v>1241</v>
      </c>
      <c r="I296" s="111" t="s">
        <v>1623</v>
      </c>
      <c r="J296" s="111" t="s">
        <v>1244</v>
      </c>
    </row>
    <row r="297" ht="18.75" hidden="1" customHeight="1">
      <c r="A297" s="111" t="s">
        <v>1590</v>
      </c>
      <c r="B297" s="111" t="s">
        <v>2275</v>
      </c>
      <c r="C297" s="111" t="s">
        <v>2276</v>
      </c>
      <c r="D297" s="111" t="s">
        <v>1593</v>
      </c>
      <c r="E297" s="111" t="s">
        <v>1594</v>
      </c>
      <c r="F297" s="112">
        <v>300.0</v>
      </c>
      <c r="G297" s="111" t="s">
        <v>1624</v>
      </c>
      <c r="H297" s="111" t="s">
        <v>1377</v>
      </c>
      <c r="I297" s="111" t="s">
        <v>1625</v>
      </c>
      <c r="J297" s="111" t="s">
        <v>1376</v>
      </c>
    </row>
    <row r="298" ht="18.75" hidden="1" customHeight="1">
      <c r="A298" s="111" t="s">
        <v>1590</v>
      </c>
      <c r="B298" s="111" t="s">
        <v>2275</v>
      </c>
      <c r="C298" s="111" t="s">
        <v>2276</v>
      </c>
      <c r="D298" s="111" t="s">
        <v>1593</v>
      </c>
      <c r="E298" s="111" t="s">
        <v>1594</v>
      </c>
      <c r="F298" s="112">
        <v>300.0</v>
      </c>
      <c r="G298" s="111" t="s">
        <v>1627</v>
      </c>
      <c r="H298" s="111" t="s">
        <v>506</v>
      </c>
      <c r="I298" s="111" t="s">
        <v>1628</v>
      </c>
      <c r="J298" s="111" t="s">
        <v>508</v>
      </c>
    </row>
    <row r="299" ht="18.75" hidden="1" customHeight="1">
      <c r="A299" s="111" t="s">
        <v>1590</v>
      </c>
      <c r="B299" s="111" t="s">
        <v>2275</v>
      </c>
      <c r="C299" s="111" t="s">
        <v>2276</v>
      </c>
      <c r="D299" s="111" t="s">
        <v>1593</v>
      </c>
      <c r="E299" s="111" t="s">
        <v>1594</v>
      </c>
      <c r="F299" s="112">
        <v>300.0</v>
      </c>
      <c r="G299" s="111" t="s">
        <v>1629</v>
      </c>
      <c r="H299" s="111" t="s">
        <v>1434</v>
      </c>
      <c r="I299" s="111" t="s">
        <v>1630</v>
      </c>
      <c r="J299" s="111" t="s">
        <v>1433</v>
      </c>
    </row>
    <row r="300" ht="18.75" hidden="1" customHeight="1">
      <c r="A300" s="111" t="s">
        <v>1590</v>
      </c>
      <c r="B300" s="111" t="s">
        <v>2275</v>
      </c>
      <c r="C300" s="111" t="s">
        <v>2276</v>
      </c>
      <c r="D300" s="111" t="s">
        <v>1593</v>
      </c>
      <c r="E300" s="111" t="s">
        <v>1594</v>
      </c>
      <c r="F300" s="112">
        <v>300.0</v>
      </c>
      <c r="G300" s="111" t="s">
        <v>1631</v>
      </c>
      <c r="H300" s="111" t="s">
        <v>161</v>
      </c>
      <c r="I300" s="111" t="s">
        <v>1633</v>
      </c>
      <c r="J300" s="111" t="s">
        <v>1122</v>
      </c>
    </row>
    <row r="301" ht="18.75" hidden="1" customHeight="1">
      <c r="A301" s="111" t="s">
        <v>1590</v>
      </c>
      <c r="B301" s="111" t="s">
        <v>2275</v>
      </c>
      <c r="C301" s="111" t="s">
        <v>2276</v>
      </c>
      <c r="D301" s="111" t="s">
        <v>1593</v>
      </c>
      <c r="E301" s="111" t="s">
        <v>1594</v>
      </c>
      <c r="F301" s="112">
        <v>300.0</v>
      </c>
      <c r="G301" s="111" t="s">
        <v>1634</v>
      </c>
      <c r="H301" s="111" t="s">
        <v>214</v>
      </c>
      <c r="I301" s="111" t="s">
        <v>1635</v>
      </c>
      <c r="J301" s="111" t="s">
        <v>1009</v>
      </c>
    </row>
    <row r="302" ht="18.75" hidden="1" customHeight="1">
      <c r="A302" s="111" t="s">
        <v>1590</v>
      </c>
      <c r="B302" s="111" t="s">
        <v>2275</v>
      </c>
      <c r="C302" s="111" t="s">
        <v>2276</v>
      </c>
      <c r="D302" s="111" t="s">
        <v>1593</v>
      </c>
      <c r="E302" s="111" t="s">
        <v>1594</v>
      </c>
      <c r="F302" s="112">
        <v>300.0</v>
      </c>
      <c r="G302" s="111" t="s">
        <v>1636</v>
      </c>
      <c r="H302" s="111" t="s">
        <v>351</v>
      </c>
      <c r="I302" s="111" t="s">
        <v>1637</v>
      </c>
      <c r="J302" s="111" t="s">
        <v>350</v>
      </c>
    </row>
    <row r="303" ht="18.75" hidden="1" customHeight="1">
      <c r="A303" s="111" t="s">
        <v>1590</v>
      </c>
      <c r="B303" s="111" t="s">
        <v>2275</v>
      </c>
      <c r="C303" s="111" t="s">
        <v>2276</v>
      </c>
      <c r="D303" s="111" t="s">
        <v>1593</v>
      </c>
      <c r="E303" s="111" t="s">
        <v>1594</v>
      </c>
      <c r="F303" s="112">
        <v>300.0</v>
      </c>
      <c r="G303" s="111" t="s">
        <v>1639</v>
      </c>
      <c r="H303" s="111" t="s">
        <v>212</v>
      </c>
      <c r="I303" s="111" t="s">
        <v>1640</v>
      </c>
      <c r="J303" s="111" t="s">
        <v>1069</v>
      </c>
    </row>
    <row r="304" ht="18.75" hidden="1" customHeight="1">
      <c r="A304" s="111" t="s">
        <v>1590</v>
      </c>
      <c r="B304" s="111" t="s">
        <v>2275</v>
      </c>
      <c r="C304" s="111" t="s">
        <v>2276</v>
      </c>
      <c r="D304" s="111" t="s">
        <v>1593</v>
      </c>
      <c r="E304" s="111" t="s">
        <v>1594</v>
      </c>
      <c r="F304" s="112">
        <v>300.0</v>
      </c>
      <c r="G304" s="111" t="s">
        <v>1641</v>
      </c>
      <c r="H304" s="111" t="s">
        <v>96</v>
      </c>
      <c r="I304" s="111" t="s">
        <v>1642</v>
      </c>
      <c r="J304" s="111" t="s">
        <v>885</v>
      </c>
    </row>
    <row r="305" ht="18.75" hidden="1" customHeight="1">
      <c r="A305" s="111" t="s">
        <v>1590</v>
      </c>
      <c r="B305" s="111" t="s">
        <v>2275</v>
      </c>
      <c r="C305" s="111" t="s">
        <v>2276</v>
      </c>
      <c r="D305" s="111" t="s">
        <v>1593</v>
      </c>
      <c r="E305" s="111" t="s">
        <v>1594</v>
      </c>
      <c r="F305" s="112">
        <v>300.0</v>
      </c>
      <c r="G305" s="111" t="s">
        <v>1644</v>
      </c>
      <c r="H305" s="111" t="s">
        <v>605</v>
      </c>
      <c r="I305" s="111" t="s">
        <v>1645</v>
      </c>
      <c r="J305" s="111" t="s">
        <v>608</v>
      </c>
    </row>
    <row r="306" ht="18.75" hidden="1" customHeight="1">
      <c r="A306" s="111" t="s">
        <v>1590</v>
      </c>
      <c r="B306" s="111" t="s">
        <v>2275</v>
      </c>
      <c r="C306" s="111" t="s">
        <v>2276</v>
      </c>
      <c r="D306" s="111" t="s">
        <v>1593</v>
      </c>
      <c r="E306" s="111" t="s">
        <v>1594</v>
      </c>
      <c r="F306" s="112">
        <v>300.0</v>
      </c>
      <c r="G306" s="111" t="s">
        <v>1647</v>
      </c>
      <c r="H306" s="111" t="s">
        <v>1231</v>
      </c>
      <c r="I306" s="111" t="s">
        <v>1648</v>
      </c>
      <c r="J306" s="111" t="s">
        <v>1233</v>
      </c>
    </row>
    <row r="307" ht="18.75" hidden="1" customHeight="1">
      <c r="A307" s="111" t="s">
        <v>1590</v>
      </c>
      <c r="B307" s="111" t="s">
        <v>2275</v>
      </c>
      <c r="C307" s="111" t="s">
        <v>2276</v>
      </c>
      <c r="D307" s="111" t="s">
        <v>1593</v>
      </c>
      <c r="E307" s="111" t="s">
        <v>1594</v>
      </c>
      <c r="F307" s="112">
        <v>300.0</v>
      </c>
      <c r="G307" s="111" t="s">
        <v>1650</v>
      </c>
      <c r="H307" s="111" t="s">
        <v>402</v>
      </c>
      <c r="I307" s="111" t="s">
        <v>1651</v>
      </c>
      <c r="J307" s="111" t="s">
        <v>1652</v>
      </c>
    </row>
    <row r="308" ht="18.75" hidden="1" customHeight="1">
      <c r="A308" s="111" t="s">
        <v>1590</v>
      </c>
      <c r="B308" s="111" t="s">
        <v>2275</v>
      </c>
      <c r="C308" s="111" t="s">
        <v>2276</v>
      </c>
      <c r="D308" s="111" t="s">
        <v>1593</v>
      </c>
      <c r="E308" s="111" t="s">
        <v>1594</v>
      </c>
      <c r="F308" s="112">
        <v>300.0</v>
      </c>
      <c r="G308" s="111" t="s">
        <v>1654</v>
      </c>
      <c r="H308" s="111" t="s">
        <v>491</v>
      </c>
      <c r="I308" s="111" t="s">
        <v>1655</v>
      </c>
      <c r="J308" s="111" t="s">
        <v>490</v>
      </c>
    </row>
    <row r="309" ht="18.75" hidden="1" customHeight="1">
      <c r="A309" s="111" t="s">
        <v>1590</v>
      </c>
      <c r="B309" s="111" t="s">
        <v>2275</v>
      </c>
      <c r="C309" s="111" t="s">
        <v>2276</v>
      </c>
      <c r="D309" s="111" t="s">
        <v>1593</v>
      </c>
      <c r="E309" s="111" t="s">
        <v>1594</v>
      </c>
      <c r="F309" s="112">
        <v>300.0</v>
      </c>
      <c r="G309" s="111" t="s">
        <v>1656</v>
      </c>
      <c r="H309" s="111" t="s">
        <v>425</v>
      </c>
      <c r="I309" s="111" t="s">
        <v>1657</v>
      </c>
      <c r="J309" s="111" t="s">
        <v>424</v>
      </c>
    </row>
    <row r="310" ht="18.75" hidden="1" customHeight="1">
      <c r="A310" s="111" t="s">
        <v>1590</v>
      </c>
      <c r="B310" s="111" t="s">
        <v>2275</v>
      </c>
      <c r="C310" s="111" t="s">
        <v>2276</v>
      </c>
      <c r="D310" s="111" t="s">
        <v>1593</v>
      </c>
      <c r="E310" s="111" t="s">
        <v>1594</v>
      </c>
      <c r="F310" s="112">
        <v>300.0</v>
      </c>
      <c r="G310" s="111" t="s">
        <v>1659</v>
      </c>
      <c r="H310" s="111" t="s">
        <v>101</v>
      </c>
      <c r="I310" s="111" t="s">
        <v>1660</v>
      </c>
      <c r="J310" s="111" t="s">
        <v>1250</v>
      </c>
    </row>
    <row r="311" ht="18.75" hidden="1" customHeight="1">
      <c r="A311" s="111" t="s">
        <v>1590</v>
      </c>
      <c r="B311" s="111" t="s">
        <v>2275</v>
      </c>
      <c r="C311" s="111" t="s">
        <v>2276</v>
      </c>
      <c r="D311" s="111" t="s">
        <v>1593</v>
      </c>
      <c r="E311" s="111" t="s">
        <v>1594</v>
      </c>
      <c r="F311" s="112">
        <v>300.0</v>
      </c>
      <c r="G311" s="111" t="s">
        <v>1662</v>
      </c>
      <c r="H311" s="111" t="s">
        <v>652</v>
      </c>
      <c r="I311" s="111" t="s">
        <v>1663</v>
      </c>
      <c r="J311" s="111" t="s">
        <v>656</v>
      </c>
    </row>
    <row r="312" ht="18.75" hidden="1" customHeight="1">
      <c r="A312" s="111" t="s">
        <v>1590</v>
      </c>
      <c r="B312" s="111" t="s">
        <v>2275</v>
      </c>
      <c r="C312" s="111" t="s">
        <v>2276</v>
      </c>
      <c r="D312" s="111" t="s">
        <v>1593</v>
      </c>
      <c r="E312" s="111" t="s">
        <v>1594</v>
      </c>
      <c r="F312" s="112">
        <v>300.0</v>
      </c>
      <c r="G312" s="111" t="s">
        <v>1664</v>
      </c>
      <c r="H312" s="111" t="s">
        <v>65</v>
      </c>
      <c r="I312" s="111" t="s">
        <v>1665</v>
      </c>
      <c r="J312" s="111" t="s">
        <v>62</v>
      </c>
    </row>
    <row r="313" ht="18.75" hidden="1" customHeight="1">
      <c r="A313" s="111" t="s">
        <v>1590</v>
      </c>
      <c r="B313" s="111" t="s">
        <v>2275</v>
      </c>
      <c r="C313" s="111" t="s">
        <v>2276</v>
      </c>
      <c r="D313" s="111" t="s">
        <v>1593</v>
      </c>
      <c r="E313" s="111" t="s">
        <v>1594</v>
      </c>
      <c r="F313" s="112">
        <v>300.0</v>
      </c>
      <c r="G313" s="111" t="s">
        <v>1667</v>
      </c>
      <c r="H313" s="111" t="s">
        <v>285</v>
      </c>
      <c r="I313" s="111" t="s">
        <v>1668</v>
      </c>
      <c r="J313" s="111" t="s">
        <v>716</v>
      </c>
    </row>
    <row r="314" ht="18.75" hidden="1" customHeight="1">
      <c r="A314" s="111" t="s">
        <v>1590</v>
      </c>
      <c r="B314" s="111" t="s">
        <v>2275</v>
      </c>
      <c r="C314" s="111" t="s">
        <v>2276</v>
      </c>
      <c r="D314" s="111" t="s">
        <v>1593</v>
      </c>
      <c r="E314" s="111" t="s">
        <v>1594</v>
      </c>
      <c r="F314" s="112">
        <v>300.0</v>
      </c>
      <c r="G314" s="111" t="s">
        <v>1669</v>
      </c>
      <c r="H314" s="111" t="s">
        <v>1402</v>
      </c>
      <c r="I314" s="111" t="s">
        <v>1670</v>
      </c>
      <c r="J314" s="111" t="s">
        <v>1408</v>
      </c>
    </row>
    <row r="315" ht="18.75" hidden="1" customHeight="1">
      <c r="A315" s="111" t="s">
        <v>1590</v>
      </c>
      <c r="B315" s="111" t="s">
        <v>2275</v>
      </c>
      <c r="C315" s="111" t="s">
        <v>2276</v>
      </c>
      <c r="D315" s="111" t="s">
        <v>1593</v>
      </c>
      <c r="E315" s="111" t="s">
        <v>1594</v>
      </c>
      <c r="F315" s="112">
        <v>300.0</v>
      </c>
      <c r="G315" s="111" t="s">
        <v>1672</v>
      </c>
      <c r="H315" s="111" t="s">
        <v>149</v>
      </c>
      <c r="I315" s="111" t="s">
        <v>1673</v>
      </c>
      <c r="J315" s="111" t="s">
        <v>756</v>
      </c>
    </row>
    <row r="316" ht="18.75" hidden="1" customHeight="1">
      <c r="A316" s="111" t="s">
        <v>1590</v>
      </c>
      <c r="B316" s="111" t="s">
        <v>2275</v>
      </c>
      <c r="C316" s="111" t="s">
        <v>2276</v>
      </c>
      <c r="D316" s="111" t="s">
        <v>1593</v>
      </c>
      <c r="E316" s="111" t="s">
        <v>1594</v>
      </c>
      <c r="F316" s="112">
        <v>300.0</v>
      </c>
      <c r="G316" s="111" t="s">
        <v>1674</v>
      </c>
      <c r="H316" s="111" t="s">
        <v>934</v>
      </c>
      <c r="I316" s="111" t="s">
        <v>1676</v>
      </c>
      <c r="J316" s="111" t="s">
        <v>933</v>
      </c>
    </row>
    <row r="317" ht="18.75" hidden="1" customHeight="1">
      <c r="A317" s="111" t="s">
        <v>1590</v>
      </c>
      <c r="B317" s="111" t="s">
        <v>2275</v>
      </c>
      <c r="C317" s="111" t="s">
        <v>2276</v>
      </c>
      <c r="D317" s="111" t="s">
        <v>1593</v>
      </c>
      <c r="E317" s="111" t="s">
        <v>1594</v>
      </c>
      <c r="F317" s="112">
        <v>300.0</v>
      </c>
      <c r="G317" s="111" t="s">
        <v>1677</v>
      </c>
      <c r="H317" s="111" t="s">
        <v>1678</v>
      </c>
      <c r="I317" s="111" t="s">
        <v>1679</v>
      </c>
      <c r="J317" s="111" t="s">
        <v>1543</v>
      </c>
    </row>
    <row r="318" ht="18.75" hidden="1" customHeight="1">
      <c r="A318" s="111" t="s">
        <v>1590</v>
      </c>
      <c r="B318" s="111" t="s">
        <v>2275</v>
      </c>
      <c r="C318" s="111" t="s">
        <v>2276</v>
      </c>
      <c r="D318" s="111" t="s">
        <v>1593</v>
      </c>
      <c r="E318" s="111" t="s">
        <v>1594</v>
      </c>
      <c r="F318" s="112">
        <v>300.0</v>
      </c>
      <c r="G318" s="111" t="s">
        <v>1680</v>
      </c>
      <c r="H318" s="111" t="s">
        <v>309</v>
      </c>
      <c r="I318" s="111" t="s">
        <v>1681</v>
      </c>
      <c r="J318" s="111" t="s">
        <v>1217</v>
      </c>
    </row>
    <row r="319" ht="18.75" hidden="1" customHeight="1">
      <c r="A319" s="111" t="s">
        <v>1590</v>
      </c>
      <c r="B319" s="111" t="s">
        <v>2275</v>
      </c>
      <c r="C319" s="111" t="s">
        <v>2276</v>
      </c>
      <c r="D319" s="111" t="s">
        <v>1593</v>
      </c>
      <c r="E319" s="111" t="s">
        <v>1594</v>
      </c>
      <c r="F319" s="112">
        <v>300.0</v>
      </c>
      <c r="G319" s="111" t="s">
        <v>1683</v>
      </c>
      <c r="H319" s="111" t="s">
        <v>615</v>
      </c>
      <c r="I319" s="111" t="s">
        <v>1684</v>
      </c>
      <c r="J319" s="111" t="s">
        <v>617</v>
      </c>
    </row>
    <row r="320" ht="18.75" hidden="1" customHeight="1">
      <c r="A320" s="111" t="s">
        <v>1590</v>
      </c>
      <c r="B320" s="111" t="s">
        <v>2275</v>
      </c>
      <c r="C320" s="111" t="s">
        <v>2276</v>
      </c>
      <c r="D320" s="111" t="s">
        <v>1593</v>
      </c>
      <c r="E320" s="111" t="s">
        <v>1594</v>
      </c>
      <c r="F320" s="112">
        <v>300.0</v>
      </c>
      <c r="G320" s="111" t="s">
        <v>1685</v>
      </c>
      <c r="H320" s="111" t="s">
        <v>157</v>
      </c>
      <c r="I320" s="111" t="s">
        <v>1686</v>
      </c>
      <c r="J320" s="111" t="s">
        <v>750</v>
      </c>
    </row>
    <row r="321" ht="18.75" hidden="1" customHeight="1">
      <c r="A321" s="111" t="s">
        <v>1590</v>
      </c>
      <c r="B321" s="111" t="s">
        <v>2275</v>
      </c>
      <c r="C321" s="111" t="s">
        <v>2276</v>
      </c>
      <c r="D321" s="111" t="s">
        <v>1593</v>
      </c>
      <c r="E321" s="111" t="s">
        <v>1594</v>
      </c>
      <c r="F321" s="112">
        <v>300.0</v>
      </c>
      <c r="G321" s="111" t="s">
        <v>1688</v>
      </c>
      <c r="H321" s="111" t="s">
        <v>639</v>
      </c>
      <c r="I321" s="111" t="s">
        <v>1689</v>
      </c>
      <c r="J321" s="111" t="s">
        <v>641</v>
      </c>
    </row>
    <row r="322" ht="18.75" hidden="1" customHeight="1">
      <c r="A322" s="111" t="s">
        <v>1590</v>
      </c>
      <c r="B322" s="111" t="s">
        <v>2275</v>
      </c>
      <c r="C322" s="111" t="s">
        <v>2276</v>
      </c>
      <c r="D322" s="111" t="s">
        <v>1593</v>
      </c>
      <c r="E322" s="111" t="s">
        <v>1594</v>
      </c>
      <c r="F322" s="112">
        <v>300.0</v>
      </c>
      <c r="G322" s="111" t="s">
        <v>1690</v>
      </c>
      <c r="H322" s="111" t="s">
        <v>664</v>
      </c>
      <c r="I322" s="111" t="s">
        <v>1691</v>
      </c>
      <c r="J322" s="111" t="s">
        <v>666</v>
      </c>
    </row>
    <row r="323" ht="18.75" hidden="1" customHeight="1">
      <c r="A323" s="111" t="s">
        <v>1590</v>
      </c>
      <c r="B323" s="111" t="s">
        <v>2275</v>
      </c>
      <c r="C323" s="111" t="s">
        <v>2276</v>
      </c>
      <c r="D323" s="111" t="s">
        <v>1593</v>
      </c>
      <c r="E323" s="111" t="s">
        <v>1594</v>
      </c>
      <c r="F323" s="112">
        <v>300.0</v>
      </c>
      <c r="G323" s="111" t="s">
        <v>1692</v>
      </c>
      <c r="H323" s="111" t="s">
        <v>1143</v>
      </c>
      <c r="I323" s="111" t="s">
        <v>1693</v>
      </c>
      <c r="J323" s="111" t="s">
        <v>1142</v>
      </c>
    </row>
    <row r="324" ht="18.75" hidden="1" customHeight="1">
      <c r="A324" s="111" t="s">
        <v>1590</v>
      </c>
      <c r="B324" s="111" t="s">
        <v>2275</v>
      </c>
      <c r="C324" s="111" t="s">
        <v>2276</v>
      </c>
      <c r="D324" s="111" t="s">
        <v>1593</v>
      </c>
      <c r="E324" s="111" t="s">
        <v>1594</v>
      </c>
      <c r="F324" s="112">
        <v>300.0</v>
      </c>
      <c r="G324" s="111" t="s">
        <v>1695</v>
      </c>
      <c r="H324" s="111" t="s">
        <v>358</v>
      </c>
      <c r="I324" s="111" t="s">
        <v>1696</v>
      </c>
      <c r="J324" s="111" t="s">
        <v>683</v>
      </c>
    </row>
    <row r="325" ht="18.75" hidden="1" customHeight="1">
      <c r="A325" s="111" t="s">
        <v>1590</v>
      </c>
      <c r="B325" s="111" t="s">
        <v>2275</v>
      </c>
      <c r="C325" s="111" t="s">
        <v>2276</v>
      </c>
      <c r="D325" s="111" t="s">
        <v>1593</v>
      </c>
      <c r="E325" s="111" t="s">
        <v>1594</v>
      </c>
      <c r="F325" s="112">
        <v>300.0</v>
      </c>
      <c r="G325" s="111" t="s">
        <v>1697</v>
      </c>
      <c r="H325" s="111" t="s">
        <v>125</v>
      </c>
      <c r="I325" s="111" t="s">
        <v>1698</v>
      </c>
      <c r="J325" s="111" t="s">
        <v>717</v>
      </c>
    </row>
    <row r="326" ht="18.75" hidden="1" customHeight="1">
      <c r="A326" s="111" t="s">
        <v>1590</v>
      </c>
      <c r="B326" s="111" t="s">
        <v>2275</v>
      </c>
      <c r="C326" s="111" t="s">
        <v>2276</v>
      </c>
      <c r="D326" s="111" t="s">
        <v>1593</v>
      </c>
      <c r="E326" s="111" t="s">
        <v>1594</v>
      </c>
      <c r="F326" s="112">
        <v>300.0</v>
      </c>
      <c r="G326" s="111" t="s">
        <v>1700</v>
      </c>
      <c r="H326" s="111" t="s">
        <v>1177</v>
      </c>
      <c r="I326" s="111" t="s">
        <v>1701</v>
      </c>
      <c r="J326" s="111" t="s">
        <v>1179</v>
      </c>
    </row>
    <row r="327" ht="18.75" hidden="1" customHeight="1">
      <c r="A327" s="111" t="s">
        <v>1590</v>
      </c>
      <c r="B327" s="111" t="s">
        <v>2275</v>
      </c>
      <c r="C327" s="111" t="s">
        <v>2276</v>
      </c>
      <c r="D327" s="111" t="s">
        <v>1593</v>
      </c>
      <c r="E327" s="111" t="s">
        <v>1594</v>
      </c>
      <c r="F327" s="112">
        <v>300.0</v>
      </c>
      <c r="G327" s="111" t="s">
        <v>1702</v>
      </c>
      <c r="H327" s="111" t="s">
        <v>372</v>
      </c>
      <c r="I327" s="111" t="s">
        <v>1703</v>
      </c>
      <c r="J327" s="111" t="s">
        <v>1013</v>
      </c>
    </row>
    <row r="328" ht="18.75" hidden="1" customHeight="1">
      <c r="A328" s="111" t="s">
        <v>1590</v>
      </c>
      <c r="B328" s="111" t="s">
        <v>2275</v>
      </c>
      <c r="C328" s="111" t="s">
        <v>2276</v>
      </c>
      <c r="D328" s="111" t="s">
        <v>1593</v>
      </c>
      <c r="E328" s="111" t="s">
        <v>1594</v>
      </c>
      <c r="F328" s="112">
        <v>300.0</v>
      </c>
      <c r="G328" s="111" t="s">
        <v>1705</v>
      </c>
      <c r="H328" s="111" t="s">
        <v>1164</v>
      </c>
      <c r="I328" s="111" t="s">
        <v>1706</v>
      </c>
      <c r="J328" s="111" t="s">
        <v>1170</v>
      </c>
    </row>
    <row r="329" ht="18.75" hidden="1" customHeight="1">
      <c r="A329" s="111" t="s">
        <v>1590</v>
      </c>
      <c r="B329" s="111" t="s">
        <v>2275</v>
      </c>
      <c r="C329" s="111" t="s">
        <v>2276</v>
      </c>
      <c r="D329" s="111" t="s">
        <v>1593</v>
      </c>
      <c r="E329" s="111" t="s">
        <v>1594</v>
      </c>
      <c r="F329" s="112">
        <v>300.0</v>
      </c>
      <c r="G329" s="111" t="s">
        <v>1707</v>
      </c>
      <c r="H329" s="111" t="s">
        <v>342</v>
      </c>
      <c r="I329" s="111" t="s">
        <v>1708</v>
      </c>
      <c r="J329" s="111" t="s">
        <v>1310</v>
      </c>
    </row>
    <row r="330" ht="18.75" hidden="1" customHeight="1">
      <c r="A330" s="111" t="s">
        <v>1590</v>
      </c>
      <c r="B330" s="111" t="s">
        <v>2275</v>
      </c>
      <c r="C330" s="111" t="s">
        <v>2276</v>
      </c>
      <c r="D330" s="111" t="s">
        <v>1593</v>
      </c>
      <c r="E330" s="111" t="s">
        <v>1594</v>
      </c>
      <c r="F330" s="112">
        <v>300.0</v>
      </c>
      <c r="G330" s="111" t="s">
        <v>1709</v>
      </c>
      <c r="H330" s="111" t="s">
        <v>390</v>
      </c>
      <c r="I330" s="111" t="s">
        <v>1710</v>
      </c>
      <c r="J330" s="111" t="s">
        <v>1518</v>
      </c>
    </row>
    <row r="331" ht="18.75" hidden="1" customHeight="1">
      <c r="A331" s="111" t="s">
        <v>1590</v>
      </c>
      <c r="B331" s="111" t="s">
        <v>2275</v>
      </c>
      <c r="C331" s="111" t="s">
        <v>2276</v>
      </c>
      <c r="D331" s="111" t="s">
        <v>1593</v>
      </c>
      <c r="E331" s="111" t="s">
        <v>1594</v>
      </c>
      <c r="F331" s="112">
        <v>300.0</v>
      </c>
      <c r="G331" s="111" t="s">
        <v>1712</v>
      </c>
      <c r="H331" s="111" t="s">
        <v>649</v>
      </c>
      <c r="I331" s="111" t="s">
        <v>1713</v>
      </c>
      <c r="J331" s="111" t="s">
        <v>651</v>
      </c>
    </row>
    <row r="332" ht="18.75" hidden="1" customHeight="1">
      <c r="A332" s="111" t="s">
        <v>1590</v>
      </c>
      <c r="B332" s="111" t="s">
        <v>2275</v>
      </c>
      <c r="C332" s="111" t="s">
        <v>2276</v>
      </c>
      <c r="D332" s="111" t="s">
        <v>1593</v>
      </c>
      <c r="E332" s="111" t="s">
        <v>1594</v>
      </c>
      <c r="F332" s="112">
        <v>300.0</v>
      </c>
      <c r="G332" s="111" t="s">
        <v>1714</v>
      </c>
      <c r="H332" s="111" t="s">
        <v>1511</v>
      </c>
      <c r="I332" s="111" t="s">
        <v>1715</v>
      </c>
      <c r="J332" s="111" t="s">
        <v>1513</v>
      </c>
    </row>
    <row r="333" ht="18.75" hidden="1" customHeight="1">
      <c r="A333" s="111" t="s">
        <v>1590</v>
      </c>
      <c r="B333" s="111" t="s">
        <v>2275</v>
      </c>
      <c r="C333" s="111" t="s">
        <v>2276</v>
      </c>
      <c r="D333" s="111" t="s">
        <v>1593</v>
      </c>
      <c r="E333" s="111" t="s">
        <v>1594</v>
      </c>
      <c r="F333" s="112">
        <v>300.0</v>
      </c>
      <c r="G333" s="111" t="s">
        <v>1716</v>
      </c>
      <c r="H333" s="111" t="s">
        <v>1316</v>
      </c>
      <c r="I333" s="111" t="s">
        <v>1717</v>
      </c>
      <c r="J333" s="111" t="s">
        <v>1315</v>
      </c>
    </row>
    <row r="334" ht="18.75" hidden="1" customHeight="1">
      <c r="A334" s="111" t="s">
        <v>1590</v>
      </c>
      <c r="B334" s="111" t="s">
        <v>2275</v>
      </c>
      <c r="C334" s="111" t="s">
        <v>2276</v>
      </c>
      <c r="D334" s="111" t="s">
        <v>1593</v>
      </c>
      <c r="E334" s="111" t="s">
        <v>1594</v>
      </c>
      <c r="F334" s="112">
        <v>300.0</v>
      </c>
      <c r="G334" s="111" t="s">
        <v>1719</v>
      </c>
      <c r="H334" s="111" t="s">
        <v>158</v>
      </c>
      <c r="I334" s="111" t="s">
        <v>1720</v>
      </c>
      <c r="J334" s="111" t="s">
        <v>1388</v>
      </c>
    </row>
    <row r="335" ht="18.75" hidden="1" customHeight="1">
      <c r="A335" s="111" t="s">
        <v>1590</v>
      </c>
      <c r="B335" s="111" t="s">
        <v>2275</v>
      </c>
      <c r="C335" s="111" t="s">
        <v>2276</v>
      </c>
      <c r="D335" s="111" t="s">
        <v>1593</v>
      </c>
      <c r="E335" s="111" t="s">
        <v>1594</v>
      </c>
      <c r="F335" s="112">
        <v>300.0</v>
      </c>
      <c r="G335" s="111" t="s">
        <v>1721</v>
      </c>
      <c r="H335" s="111" t="s">
        <v>778</v>
      </c>
      <c r="I335" s="111" t="s">
        <v>1722</v>
      </c>
      <c r="J335" s="111" t="s">
        <v>786</v>
      </c>
    </row>
    <row r="336" ht="18.75" hidden="1" customHeight="1">
      <c r="A336" s="111" t="s">
        <v>1590</v>
      </c>
      <c r="B336" s="111" t="s">
        <v>2275</v>
      </c>
      <c r="C336" s="111" t="s">
        <v>2276</v>
      </c>
      <c r="D336" s="111" t="s">
        <v>1593</v>
      </c>
      <c r="E336" s="111" t="s">
        <v>1594</v>
      </c>
      <c r="F336" s="112">
        <v>300.0</v>
      </c>
      <c r="G336" s="111" t="s">
        <v>1723</v>
      </c>
      <c r="H336" s="111" t="s">
        <v>262</v>
      </c>
      <c r="I336" s="111" t="s">
        <v>1725</v>
      </c>
      <c r="J336" s="111" t="s">
        <v>696</v>
      </c>
    </row>
    <row r="337" ht="18.75" hidden="1" customHeight="1">
      <c r="A337" s="111" t="s">
        <v>1590</v>
      </c>
      <c r="B337" s="111" t="s">
        <v>2275</v>
      </c>
      <c r="C337" s="111" t="s">
        <v>2276</v>
      </c>
      <c r="D337" s="111" t="s">
        <v>1593</v>
      </c>
      <c r="E337" s="111" t="s">
        <v>1594</v>
      </c>
      <c r="F337" s="112">
        <v>300.0</v>
      </c>
      <c r="G337" s="111" t="s">
        <v>1596</v>
      </c>
      <c r="H337" s="111" t="s">
        <v>1597</v>
      </c>
      <c r="I337" s="111" t="s">
        <v>1598</v>
      </c>
      <c r="J337" s="111" t="s">
        <v>1599</v>
      </c>
    </row>
    <row r="338" ht="18.75" hidden="1" customHeight="1">
      <c r="A338" s="111" t="s">
        <v>1590</v>
      </c>
      <c r="B338" s="111" t="s">
        <v>2275</v>
      </c>
      <c r="C338" s="111" t="s">
        <v>2276</v>
      </c>
      <c r="D338" s="111" t="s">
        <v>1593</v>
      </c>
      <c r="E338" s="111" t="s">
        <v>1594</v>
      </c>
      <c r="F338" s="112">
        <v>300.0</v>
      </c>
      <c r="G338" s="111" t="s">
        <v>1726</v>
      </c>
      <c r="H338" s="111" t="s">
        <v>254</v>
      </c>
      <c r="I338" s="111" t="s">
        <v>1727</v>
      </c>
      <c r="J338" s="111" t="s">
        <v>760</v>
      </c>
    </row>
    <row r="339" ht="18.75" hidden="1" customHeight="1">
      <c r="A339" s="111" t="s">
        <v>1590</v>
      </c>
      <c r="B339" s="111" t="s">
        <v>2275</v>
      </c>
      <c r="C339" s="111" t="s">
        <v>2276</v>
      </c>
      <c r="D339" s="111" t="s">
        <v>1593</v>
      </c>
      <c r="E339" s="111" t="s">
        <v>1594</v>
      </c>
      <c r="F339" s="112">
        <v>300.0</v>
      </c>
      <c r="G339" s="111" t="s">
        <v>1729</v>
      </c>
      <c r="H339" s="111" t="s">
        <v>263</v>
      </c>
      <c r="I339" s="111" t="s">
        <v>1730</v>
      </c>
      <c r="J339" s="111" t="s">
        <v>1265</v>
      </c>
    </row>
    <row r="340" ht="18.75" hidden="1" customHeight="1">
      <c r="A340" s="111" t="s">
        <v>1590</v>
      </c>
      <c r="B340" s="111" t="s">
        <v>2275</v>
      </c>
      <c r="C340" s="111" t="s">
        <v>2276</v>
      </c>
      <c r="D340" s="111" t="s">
        <v>1593</v>
      </c>
      <c r="E340" s="111" t="s">
        <v>1594</v>
      </c>
      <c r="F340" s="112">
        <v>300.0</v>
      </c>
      <c r="G340" s="111" t="s">
        <v>1731</v>
      </c>
      <c r="H340" s="111" t="s">
        <v>103</v>
      </c>
      <c r="I340" s="111" t="s">
        <v>1732</v>
      </c>
      <c r="J340" s="111" t="s">
        <v>1314</v>
      </c>
    </row>
    <row r="341" ht="18.75" hidden="1" customHeight="1">
      <c r="A341" s="111" t="s">
        <v>1590</v>
      </c>
      <c r="B341" s="111" t="s">
        <v>2275</v>
      </c>
      <c r="C341" s="111" t="s">
        <v>2276</v>
      </c>
      <c r="D341" s="111" t="s">
        <v>1593</v>
      </c>
      <c r="E341" s="111" t="s">
        <v>1594</v>
      </c>
      <c r="F341" s="112">
        <v>300.0</v>
      </c>
      <c r="G341" s="111" t="s">
        <v>1733</v>
      </c>
      <c r="H341" s="111" t="s">
        <v>1519</v>
      </c>
      <c r="I341" s="111" t="s">
        <v>1735</v>
      </c>
      <c r="J341" s="111" t="s">
        <v>1523</v>
      </c>
    </row>
    <row r="342" ht="18.75" hidden="1" customHeight="1">
      <c r="A342" s="111" t="s">
        <v>1590</v>
      </c>
      <c r="B342" s="111" t="s">
        <v>2275</v>
      </c>
      <c r="C342" s="111" t="s">
        <v>2276</v>
      </c>
      <c r="D342" s="111" t="s">
        <v>1593</v>
      </c>
      <c r="E342" s="111" t="s">
        <v>1594</v>
      </c>
      <c r="F342" s="112">
        <v>300.0</v>
      </c>
      <c r="G342" s="111" t="s">
        <v>1736</v>
      </c>
      <c r="H342" s="111" t="s">
        <v>568</v>
      </c>
      <c r="I342" s="111" t="s">
        <v>1737</v>
      </c>
      <c r="J342" s="111" t="s">
        <v>570</v>
      </c>
    </row>
    <row r="343" ht="18.75" hidden="1" customHeight="1">
      <c r="A343" s="111" t="s">
        <v>1590</v>
      </c>
      <c r="B343" s="111" t="s">
        <v>2275</v>
      </c>
      <c r="C343" s="111" t="s">
        <v>2276</v>
      </c>
      <c r="D343" s="111" t="s">
        <v>1593</v>
      </c>
      <c r="E343" s="111" t="s">
        <v>1594</v>
      </c>
      <c r="F343" s="112">
        <v>300.0</v>
      </c>
      <c r="G343" s="111" t="s">
        <v>1738</v>
      </c>
      <c r="H343" s="111" t="s">
        <v>1739</v>
      </c>
      <c r="I343" s="111" t="s">
        <v>1740</v>
      </c>
      <c r="J343" s="111" t="s">
        <v>675</v>
      </c>
    </row>
    <row r="344" ht="18.75" hidden="1" customHeight="1">
      <c r="A344" s="111" t="s">
        <v>1590</v>
      </c>
      <c r="B344" s="111" t="s">
        <v>2275</v>
      </c>
      <c r="C344" s="111" t="s">
        <v>2276</v>
      </c>
      <c r="D344" s="111" t="s">
        <v>1593</v>
      </c>
      <c r="E344" s="111" t="s">
        <v>1594</v>
      </c>
      <c r="F344" s="112">
        <v>300.0</v>
      </c>
      <c r="G344" s="111" t="s">
        <v>1742</v>
      </c>
      <c r="H344" s="111" t="s">
        <v>920</v>
      </c>
      <c r="I344" s="111" t="s">
        <v>1743</v>
      </c>
      <c r="J344" s="111" t="s">
        <v>928</v>
      </c>
    </row>
    <row r="345" ht="18.75" hidden="1" customHeight="1">
      <c r="A345" s="111" t="s">
        <v>1590</v>
      </c>
      <c r="B345" s="111" t="s">
        <v>2275</v>
      </c>
      <c r="C345" s="111" t="s">
        <v>2276</v>
      </c>
      <c r="D345" s="111" t="s">
        <v>1593</v>
      </c>
      <c r="E345" s="111" t="s">
        <v>1594</v>
      </c>
      <c r="F345" s="112">
        <v>300.0</v>
      </c>
      <c r="G345" s="111" t="s">
        <v>1745</v>
      </c>
      <c r="H345" s="111" t="s">
        <v>1302</v>
      </c>
      <c r="I345" s="111" t="s">
        <v>1746</v>
      </c>
      <c r="J345" s="111" t="s">
        <v>1304</v>
      </c>
    </row>
    <row r="346" ht="18.75" hidden="1" customHeight="1">
      <c r="A346" s="111" t="s">
        <v>1590</v>
      </c>
      <c r="B346" s="111" t="s">
        <v>2275</v>
      </c>
      <c r="C346" s="111" t="s">
        <v>2276</v>
      </c>
      <c r="D346" s="111" t="s">
        <v>1593</v>
      </c>
      <c r="E346" s="111" t="s">
        <v>1594</v>
      </c>
      <c r="F346" s="112">
        <v>300.0</v>
      </c>
      <c r="G346" s="111" t="s">
        <v>1747</v>
      </c>
      <c r="H346" s="111" t="s">
        <v>581</v>
      </c>
      <c r="I346" s="111" t="s">
        <v>1748</v>
      </c>
      <c r="J346" s="111" t="s">
        <v>583</v>
      </c>
    </row>
    <row r="347" ht="18.75" hidden="1" customHeight="1">
      <c r="A347" s="111" t="s">
        <v>1590</v>
      </c>
      <c r="B347" s="111" t="s">
        <v>2275</v>
      </c>
      <c r="C347" s="111" t="s">
        <v>2276</v>
      </c>
      <c r="D347" s="111" t="s">
        <v>1593</v>
      </c>
      <c r="E347" s="111" t="s">
        <v>1594</v>
      </c>
      <c r="F347" s="112">
        <v>300.0</v>
      </c>
      <c r="G347" s="111" t="s">
        <v>1749</v>
      </c>
      <c r="H347" s="111" t="s">
        <v>116</v>
      </c>
      <c r="I347" s="111" t="s">
        <v>1750</v>
      </c>
      <c r="J347" s="111" t="s">
        <v>684</v>
      </c>
    </row>
    <row r="348" ht="18.75" hidden="1" customHeight="1">
      <c r="A348" s="111" t="s">
        <v>1590</v>
      </c>
      <c r="B348" s="111" t="s">
        <v>2275</v>
      </c>
      <c r="C348" s="111" t="s">
        <v>2276</v>
      </c>
      <c r="D348" s="111" t="s">
        <v>1593</v>
      </c>
      <c r="E348" s="111" t="s">
        <v>1594</v>
      </c>
      <c r="F348" s="112">
        <v>300.0</v>
      </c>
      <c r="G348" s="111" t="s">
        <v>1752</v>
      </c>
      <c r="H348" s="111" t="s">
        <v>252</v>
      </c>
      <c r="I348" s="111" t="s">
        <v>1753</v>
      </c>
      <c r="J348" s="111" t="s">
        <v>701</v>
      </c>
    </row>
    <row r="349" ht="18.75" hidden="1" customHeight="1">
      <c r="A349" s="111" t="s">
        <v>1590</v>
      </c>
      <c r="B349" s="111" t="s">
        <v>2275</v>
      </c>
      <c r="C349" s="111" t="s">
        <v>2276</v>
      </c>
      <c r="D349" s="111" t="s">
        <v>1593</v>
      </c>
      <c r="E349" s="111" t="s">
        <v>1594</v>
      </c>
      <c r="F349" s="112">
        <v>300.0</v>
      </c>
      <c r="G349" s="111" t="s">
        <v>1754</v>
      </c>
      <c r="H349" s="111" t="s">
        <v>343</v>
      </c>
      <c r="I349" s="111" t="s">
        <v>1755</v>
      </c>
      <c r="J349" s="111" t="s">
        <v>475</v>
      </c>
    </row>
    <row r="350" ht="18.75" hidden="1" customHeight="1">
      <c r="A350" s="111" t="s">
        <v>1590</v>
      </c>
      <c r="B350" s="111" t="s">
        <v>2275</v>
      </c>
      <c r="C350" s="111" t="s">
        <v>2276</v>
      </c>
      <c r="D350" s="111" t="s">
        <v>1593</v>
      </c>
      <c r="E350" s="111" t="s">
        <v>1594</v>
      </c>
      <c r="F350" s="112">
        <v>300.0</v>
      </c>
      <c r="G350" s="111" t="s">
        <v>1758</v>
      </c>
      <c r="H350" s="111" t="s">
        <v>1296</v>
      </c>
      <c r="I350" s="111" t="s">
        <v>1759</v>
      </c>
      <c r="J350" s="111" t="s">
        <v>1295</v>
      </c>
    </row>
    <row r="351" ht="18.75" hidden="1" customHeight="1">
      <c r="A351" s="111" t="s">
        <v>1590</v>
      </c>
      <c r="B351" s="111" t="s">
        <v>2275</v>
      </c>
      <c r="C351" s="111" t="s">
        <v>2276</v>
      </c>
      <c r="D351" s="111" t="s">
        <v>1593</v>
      </c>
      <c r="E351" s="111" t="s">
        <v>1594</v>
      </c>
      <c r="F351" s="112">
        <v>300.0</v>
      </c>
      <c r="G351" s="111" t="s">
        <v>1760</v>
      </c>
      <c r="H351" s="111" t="s">
        <v>503</v>
      </c>
      <c r="I351" s="111" t="s">
        <v>1761</v>
      </c>
      <c r="J351" s="111" t="s">
        <v>502</v>
      </c>
    </row>
    <row r="352" ht="18.75" hidden="1" customHeight="1">
      <c r="A352" s="111" t="s">
        <v>1590</v>
      </c>
      <c r="B352" s="111" t="s">
        <v>2275</v>
      </c>
      <c r="C352" s="111" t="s">
        <v>2276</v>
      </c>
      <c r="D352" s="111" t="s">
        <v>1593</v>
      </c>
      <c r="E352" s="111" t="s">
        <v>1594</v>
      </c>
      <c r="F352" s="112">
        <v>300.0</v>
      </c>
      <c r="G352" s="111" t="s">
        <v>1763</v>
      </c>
      <c r="H352" s="111" t="s">
        <v>1764</v>
      </c>
      <c r="I352" s="111" t="s">
        <v>1765</v>
      </c>
      <c r="J352" s="111" t="s">
        <v>1540</v>
      </c>
    </row>
    <row r="353" ht="18.75" hidden="1" customHeight="1">
      <c r="A353" s="111" t="s">
        <v>1590</v>
      </c>
      <c r="B353" s="111" t="s">
        <v>2275</v>
      </c>
      <c r="C353" s="111" t="s">
        <v>2276</v>
      </c>
      <c r="D353" s="111" t="s">
        <v>1593</v>
      </c>
      <c r="E353" s="111" t="s">
        <v>1594</v>
      </c>
      <c r="F353" s="112">
        <v>300.0</v>
      </c>
      <c r="G353" s="111" t="s">
        <v>1766</v>
      </c>
      <c r="H353" s="111" t="s">
        <v>375</v>
      </c>
      <c r="I353" s="111" t="s">
        <v>1767</v>
      </c>
      <c r="J353" s="111" t="s">
        <v>1040</v>
      </c>
    </row>
    <row r="354" ht="18.75" hidden="1" customHeight="1">
      <c r="A354" s="111" t="s">
        <v>1590</v>
      </c>
      <c r="B354" s="111" t="s">
        <v>2275</v>
      </c>
      <c r="C354" s="111" t="s">
        <v>2276</v>
      </c>
      <c r="D354" s="111" t="s">
        <v>1593</v>
      </c>
      <c r="E354" s="111" t="s">
        <v>1594</v>
      </c>
      <c r="F354" s="112">
        <v>300.0</v>
      </c>
      <c r="G354" s="111" t="s">
        <v>1768</v>
      </c>
      <c r="H354" s="111" t="s">
        <v>1418</v>
      </c>
      <c r="I354" s="111" t="s">
        <v>1769</v>
      </c>
      <c r="J354" s="111" t="s">
        <v>1417</v>
      </c>
    </row>
    <row r="355" ht="18.75" hidden="1" customHeight="1">
      <c r="A355" s="111" t="s">
        <v>1590</v>
      </c>
      <c r="B355" s="111" t="s">
        <v>2275</v>
      </c>
      <c r="C355" s="111" t="s">
        <v>2276</v>
      </c>
      <c r="D355" s="111" t="s">
        <v>1593</v>
      </c>
      <c r="E355" s="111" t="s">
        <v>1594</v>
      </c>
      <c r="F355" s="112">
        <v>300.0</v>
      </c>
      <c r="G355" s="111" t="s">
        <v>1771</v>
      </c>
      <c r="H355" s="111" t="s">
        <v>981</v>
      </c>
      <c r="I355" s="111" t="s">
        <v>1772</v>
      </c>
      <c r="J355" s="111" t="s">
        <v>986</v>
      </c>
    </row>
    <row r="356" ht="18.75" hidden="1" customHeight="1">
      <c r="A356" s="111" t="s">
        <v>1590</v>
      </c>
      <c r="B356" s="111" t="s">
        <v>2275</v>
      </c>
      <c r="C356" s="111" t="s">
        <v>2276</v>
      </c>
      <c r="D356" s="111" t="s">
        <v>1593</v>
      </c>
      <c r="E356" s="111" t="s">
        <v>1594</v>
      </c>
      <c r="F356" s="112">
        <v>300.0</v>
      </c>
      <c r="G356" s="111" t="s">
        <v>1773</v>
      </c>
      <c r="H356" s="111" t="s">
        <v>313</v>
      </c>
      <c r="I356" s="111" t="s">
        <v>1774</v>
      </c>
      <c r="J356" s="111" t="s">
        <v>1466</v>
      </c>
    </row>
    <row r="357" ht="18.75" hidden="1" customHeight="1">
      <c r="A357" s="111" t="s">
        <v>1590</v>
      </c>
      <c r="B357" s="111" t="s">
        <v>2275</v>
      </c>
      <c r="C357" s="111" t="s">
        <v>2276</v>
      </c>
      <c r="D357" s="111" t="s">
        <v>1593</v>
      </c>
      <c r="E357" s="111" t="s">
        <v>1594</v>
      </c>
      <c r="F357" s="112">
        <v>300.0</v>
      </c>
      <c r="G357" s="111" t="s">
        <v>1776</v>
      </c>
      <c r="H357" s="111" t="s">
        <v>1448</v>
      </c>
      <c r="I357" s="111" t="s">
        <v>1777</v>
      </c>
      <c r="J357" s="111" t="s">
        <v>1450</v>
      </c>
    </row>
    <row r="358" ht="18.75" hidden="1" customHeight="1">
      <c r="A358" s="111" t="s">
        <v>1590</v>
      </c>
      <c r="B358" s="111" t="s">
        <v>2275</v>
      </c>
      <c r="C358" s="111" t="s">
        <v>2276</v>
      </c>
      <c r="D358" s="111" t="s">
        <v>1593</v>
      </c>
      <c r="E358" s="111" t="s">
        <v>1594</v>
      </c>
      <c r="F358" s="112">
        <v>300.0</v>
      </c>
      <c r="G358" s="111" t="s">
        <v>1778</v>
      </c>
      <c r="H358" s="111" t="s">
        <v>176</v>
      </c>
      <c r="I358" s="111" t="s">
        <v>1779</v>
      </c>
      <c r="J358" s="111" t="s">
        <v>871</v>
      </c>
    </row>
    <row r="359" ht="18.75" hidden="1" customHeight="1">
      <c r="A359" s="111" t="s">
        <v>1590</v>
      </c>
      <c r="B359" s="111" t="s">
        <v>2275</v>
      </c>
      <c r="C359" s="111" t="s">
        <v>2276</v>
      </c>
      <c r="D359" s="111" t="s">
        <v>1593</v>
      </c>
      <c r="E359" s="111" t="s">
        <v>1594</v>
      </c>
      <c r="F359" s="112">
        <v>300.0</v>
      </c>
      <c r="G359" s="111" t="s">
        <v>1781</v>
      </c>
      <c r="H359" s="111" t="s">
        <v>1154</v>
      </c>
      <c r="I359" s="111" t="s">
        <v>1782</v>
      </c>
      <c r="J359" s="111" t="s">
        <v>1153</v>
      </c>
    </row>
    <row r="360" ht="18.75" hidden="1" customHeight="1">
      <c r="A360" s="111" t="s">
        <v>1590</v>
      </c>
      <c r="B360" s="111" t="s">
        <v>2275</v>
      </c>
      <c r="C360" s="111" t="s">
        <v>2276</v>
      </c>
      <c r="D360" s="111" t="s">
        <v>1593</v>
      </c>
      <c r="E360" s="111" t="s">
        <v>1594</v>
      </c>
      <c r="F360" s="112">
        <v>300.0</v>
      </c>
      <c r="G360" s="111" t="s">
        <v>1784</v>
      </c>
      <c r="H360" s="111" t="s">
        <v>1399</v>
      </c>
      <c r="I360" s="111" t="s">
        <v>1785</v>
      </c>
      <c r="J360" s="111" t="s">
        <v>1398</v>
      </c>
    </row>
    <row r="361" ht="18.75" hidden="1" customHeight="1">
      <c r="A361" s="111" t="s">
        <v>1590</v>
      </c>
      <c r="B361" s="111" t="s">
        <v>2275</v>
      </c>
      <c r="C361" s="111" t="s">
        <v>2276</v>
      </c>
      <c r="D361" s="111" t="s">
        <v>1593</v>
      </c>
      <c r="E361" s="111" t="s">
        <v>1594</v>
      </c>
      <c r="F361" s="112">
        <v>300.0</v>
      </c>
      <c r="G361" s="111" t="s">
        <v>1786</v>
      </c>
      <c r="H361" s="111" t="s">
        <v>620</v>
      </c>
      <c r="I361" s="111" t="s">
        <v>1787</v>
      </c>
      <c r="J361" s="111" t="s">
        <v>1788</v>
      </c>
    </row>
    <row r="362" ht="18.75" hidden="1" customHeight="1">
      <c r="A362" s="111" t="s">
        <v>1590</v>
      </c>
      <c r="B362" s="111" t="s">
        <v>2275</v>
      </c>
      <c r="C362" s="111" t="s">
        <v>2276</v>
      </c>
      <c r="D362" s="111" t="s">
        <v>1593</v>
      </c>
      <c r="E362" s="111" t="s">
        <v>1594</v>
      </c>
      <c r="F362" s="112">
        <v>300.0</v>
      </c>
      <c r="G362" s="111" t="s">
        <v>1789</v>
      </c>
      <c r="H362" s="111" t="s">
        <v>329</v>
      </c>
      <c r="I362" s="111" t="s">
        <v>1791</v>
      </c>
      <c r="J362" s="111" t="s">
        <v>1487</v>
      </c>
    </row>
    <row r="363" ht="18.75" hidden="1" customHeight="1">
      <c r="A363" s="111" t="s">
        <v>1590</v>
      </c>
      <c r="B363" s="111" t="s">
        <v>2275</v>
      </c>
      <c r="C363" s="111" t="s">
        <v>2276</v>
      </c>
      <c r="D363" s="111" t="s">
        <v>1593</v>
      </c>
      <c r="E363" s="111" t="s">
        <v>1594</v>
      </c>
      <c r="F363" s="112">
        <v>300.0</v>
      </c>
      <c r="G363" s="111" t="s">
        <v>1792</v>
      </c>
      <c r="H363" s="111" t="s">
        <v>1131</v>
      </c>
      <c r="I363" s="111" t="s">
        <v>1793</v>
      </c>
      <c r="J363" s="111" t="s">
        <v>1130</v>
      </c>
    </row>
    <row r="364" ht="18.75" hidden="1" customHeight="1">
      <c r="A364" s="111" t="s">
        <v>1590</v>
      </c>
      <c r="B364" s="111" t="s">
        <v>2275</v>
      </c>
      <c r="C364" s="111" t="s">
        <v>2276</v>
      </c>
      <c r="D364" s="111" t="s">
        <v>1593</v>
      </c>
      <c r="E364" s="111" t="s">
        <v>1594</v>
      </c>
      <c r="F364" s="112">
        <v>300.0</v>
      </c>
      <c r="G364" s="111" t="s">
        <v>1794</v>
      </c>
      <c r="H364" s="111" t="s">
        <v>199</v>
      </c>
      <c r="I364" s="111" t="s">
        <v>1795</v>
      </c>
      <c r="J364" s="111" t="s">
        <v>576</v>
      </c>
    </row>
    <row r="365" ht="18.75" hidden="1" customHeight="1">
      <c r="A365" s="111" t="s">
        <v>1590</v>
      </c>
      <c r="B365" s="111" t="s">
        <v>2275</v>
      </c>
      <c r="C365" s="111" t="s">
        <v>2276</v>
      </c>
      <c r="D365" s="111" t="s">
        <v>1593</v>
      </c>
      <c r="E365" s="111" t="s">
        <v>1594</v>
      </c>
      <c r="F365" s="112">
        <v>300.0</v>
      </c>
      <c r="G365" s="111" t="s">
        <v>1797</v>
      </c>
      <c r="H365" s="111" t="s">
        <v>117</v>
      </c>
      <c r="I365" s="111" t="s">
        <v>1798</v>
      </c>
      <c r="J365" s="111" t="s">
        <v>539</v>
      </c>
    </row>
    <row r="366" ht="18.75" hidden="1" customHeight="1">
      <c r="A366" s="111" t="s">
        <v>1590</v>
      </c>
      <c r="B366" s="111" t="s">
        <v>2275</v>
      </c>
      <c r="C366" s="111" t="s">
        <v>2276</v>
      </c>
      <c r="D366" s="111" t="s">
        <v>1593</v>
      </c>
      <c r="E366" s="111" t="s">
        <v>1594</v>
      </c>
      <c r="F366" s="112">
        <v>300.0</v>
      </c>
      <c r="G366" s="111" t="s">
        <v>1799</v>
      </c>
      <c r="H366" s="111" t="s">
        <v>180</v>
      </c>
      <c r="I366" s="111" t="s">
        <v>1800</v>
      </c>
      <c r="J366" s="111" t="s">
        <v>178</v>
      </c>
    </row>
    <row r="367" ht="18.75" hidden="1" customHeight="1">
      <c r="A367" s="111" t="s">
        <v>1590</v>
      </c>
      <c r="B367" s="111" t="s">
        <v>2275</v>
      </c>
      <c r="C367" s="111" t="s">
        <v>2276</v>
      </c>
      <c r="D367" s="111" t="s">
        <v>1593</v>
      </c>
      <c r="E367" s="111" t="s">
        <v>1594</v>
      </c>
      <c r="F367" s="112">
        <v>300.0</v>
      </c>
      <c r="G367" s="111" t="s">
        <v>1801</v>
      </c>
      <c r="H367" s="111" t="s">
        <v>270</v>
      </c>
      <c r="I367" s="111" t="s">
        <v>1802</v>
      </c>
      <c r="J367" s="111" t="s">
        <v>1345</v>
      </c>
    </row>
    <row r="368" ht="18.75" hidden="1" customHeight="1">
      <c r="A368" s="111" t="s">
        <v>1590</v>
      </c>
      <c r="B368" s="111" t="s">
        <v>2275</v>
      </c>
      <c r="C368" s="111" t="s">
        <v>2276</v>
      </c>
      <c r="D368" s="111" t="s">
        <v>1593</v>
      </c>
      <c r="E368" s="111" t="s">
        <v>1594</v>
      </c>
      <c r="F368" s="112">
        <v>300.0</v>
      </c>
      <c r="G368" s="111" t="s">
        <v>1804</v>
      </c>
      <c r="H368" s="111" t="s">
        <v>162</v>
      </c>
      <c r="I368" s="111" t="s">
        <v>1805</v>
      </c>
      <c r="J368" s="111" t="s">
        <v>941</v>
      </c>
    </row>
    <row r="369" ht="18.75" hidden="1" customHeight="1">
      <c r="A369" s="111" t="s">
        <v>1590</v>
      </c>
      <c r="B369" s="111" t="s">
        <v>2275</v>
      </c>
      <c r="C369" s="111" t="s">
        <v>2276</v>
      </c>
      <c r="D369" s="111" t="s">
        <v>1593</v>
      </c>
      <c r="E369" s="111" t="s">
        <v>1594</v>
      </c>
      <c r="F369" s="112">
        <v>300.0</v>
      </c>
      <c r="G369" s="111" t="s">
        <v>1807</v>
      </c>
      <c r="H369" s="111" t="s">
        <v>156</v>
      </c>
      <c r="I369" s="111" t="s">
        <v>1808</v>
      </c>
      <c r="J369" s="111" t="s">
        <v>1005</v>
      </c>
    </row>
    <row r="370" ht="18.75" hidden="1" customHeight="1">
      <c r="A370" s="111" t="s">
        <v>1590</v>
      </c>
      <c r="B370" s="111" t="s">
        <v>2275</v>
      </c>
      <c r="C370" s="111" t="s">
        <v>2276</v>
      </c>
      <c r="D370" s="111" t="s">
        <v>1593</v>
      </c>
      <c r="E370" s="111" t="s">
        <v>1594</v>
      </c>
      <c r="F370" s="112">
        <v>300.0</v>
      </c>
      <c r="G370" s="111" t="s">
        <v>1809</v>
      </c>
      <c r="H370" s="111" t="s">
        <v>404</v>
      </c>
      <c r="I370" s="111" t="s">
        <v>1810</v>
      </c>
      <c r="J370" s="111" t="s">
        <v>1555</v>
      </c>
    </row>
    <row r="371" ht="18.75" hidden="1" customHeight="1">
      <c r="A371" s="111" t="s">
        <v>1590</v>
      </c>
      <c r="B371" s="111" t="s">
        <v>2275</v>
      </c>
      <c r="C371" s="111" t="s">
        <v>2276</v>
      </c>
      <c r="D371" s="111" t="s">
        <v>1593</v>
      </c>
      <c r="E371" s="111" t="s">
        <v>1594</v>
      </c>
      <c r="F371" s="112">
        <v>300.0</v>
      </c>
      <c r="G371" s="111" t="s">
        <v>1812</v>
      </c>
      <c r="H371" s="111" t="s">
        <v>26</v>
      </c>
      <c r="I371" s="111" t="s">
        <v>1813</v>
      </c>
      <c r="J371" s="111" t="s">
        <v>25</v>
      </c>
    </row>
    <row r="372" ht="18.75" hidden="1" customHeight="1">
      <c r="A372" s="111" t="s">
        <v>1590</v>
      </c>
      <c r="B372" s="111" t="s">
        <v>2275</v>
      </c>
      <c r="C372" s="111" t="s">
        <v>2276</v>
      </c>
      <c r="D372" s="111" t="s">
        <v>1593</v>
      </c>
      <c r="E372" s="111" t="s">
        <v>1594</v>
      </c>
      <c r="F372" s="112">
        <v>300.0</v>
      </c>
      <c r="G372" s="111" t="s">
        <v>1814</v>
      </c>
      <c r="H372" s="111" t="s">
        <v>489</v>
      </c>
      <c r="I372" s="111" t="s">
        <v>1815</v>
      </c>
      <c r="J372" s="111" t="s">
        <v>495</v>
      </c>
    </row>
    <row r="373" ht="18.75" hidden="1" customHeight="1">
      <c r="A373" s="111" t="s">
        <v>1590</v>
      </c>
      <c r="B373" s="111" t="s">
        <v>2275</v>
      </c>
      <c r="C373" s="111" t="s">
        <v>2276</v>
      </c>
      <c r="D373" s="111" t="s">
        <v>1593</v>
      </c>
      <c r="E373" s="111" t="s">
        <v>1594</v>
      </c>
      <c r="F373" s="112">
        <v>300.0</v>
      </c>
      <c r="G373" s="111" t="s">
        <v>1817</v>
      </c>
      <c r="H373" s="111" t="s">
        <v>190</v>
      </c>
      <c r="I373" s="111" t="s">
        <v>1818</v>
      </c>
      <c r="J373" s="111" t="s">
        <v>1360</v>
      </c>
    </row>
    <row r="374" ht="18.75" hidden="1" customHeight="1">
      <c r="A374" s="111" t="s">
        <v>1590</v>
      </c>
      <c r="B374" s="111" t="s">
        <v>2275</v>
      </c>
      <c r="C374" s="111" t="s">
        <v>2276</v>
      </c>
      <c r="D374" s="111" t="s">
        <v>1593</v>
      </c>
      <c r="E374" s="111" t="s">
        <v>1594</v>
      </c>
      <c r="F374" s="112">
        <v>300.0</v>
      </c>
      <c r="G374" s="111" t="s">
        <v>1819</v>
      </c>
      <c r="H374" s="111" t="s">
        <v>1357</v>
      </c>
      <c r="I374" s="111" t="s">
        <v>1820</v>
      </c>
      <c r="J374" s="111" t="s">
        <v>1359</v>
      </c>
    </row>
    <row r="375" ht="18.75" hidden="1" customHeight="1">
      <c r="A375" s="111" t="s">
        <v>1590</v>
      </c>
      <c r="B375" s="111" t="s">
        <v>2275</v>
      </c>
      <c r="C375" s="111" t="s">
        <v>2276</v>
      </c>
      <c r="D375" s="111" t="s">
        <v>1593</v>
      </c>
      <c r="E375" s="111" t="s">
        <v>1594</v>
      </c>
      <c r="F375" s="112">
        <v>300.0</v>
      </c>
      <c r="G375" s="111" t="s">
        <v>1822</v>
      </c>
      <c r="H375" s="111" t="s">
        <v>378</v>
      </c>
      <c r="I375" s="111" t="s">
        <v>1823</v>
      </c>
      <c r="J375" s="111" t="s">
        <v>1194</v>
      </c>
    </row>
    <row r="376" ht="18.75" hidden="1" customHeight="1">
      <c r="A376" s="111" t="s">
        <v>1590</v>
      </c>
      <c r="B376" s="111" t="s">
        <v>2275</v>
      </c>
      <c r="C376" s="111" t="s">
        <v>2276</v>
      </c>
      <c r="D376" s="111" t="s">
        <v>1593</v>
      </c>
      <c r="E376" s="111" t="s">
        <v>1594</v>
      </c>
      <c r="F376" s="112">
        <v>300.0</v>
      </c>
      <c r="G376" s="111" t="s">
        <v>1824</v>
      </c>
      <c r="H376" s="111" t="s">
        <v>1502</v>
      </c>
      <c r="I376" s="111" t="s">
        <v>1826</v>
      </c>
      <c r="J376" s="111" t="s">
        <v>1504</v>
      </c>
    </row>
    <row r="377" ht="18.75" hidden="1" customHeight="1">
      <c r="A377" s="111" t="s">
        <v>1590</v>
      </c>
      <c r="B377" s="111" t="s">
        <v>2275</v>
      </c>
      <c r="C377" s="111" t="s">
        <v>2276</v>
      </c>
      <c r="D377" s="111" t="s">
        <v>1593</v>
      </c>
      <c r="E377" s="111" t="s">
        <v>1594</v>
      </c>
      <c r="F377" s="112">
        <v>300.0</v>
      </c>
      <c r="G377" s="111" t="s">
        <v>1827</v>
      </c>
      <c r="H377" s="111" t="s">
        <v>1025</v>
      </c>
      <c r="I377" s="111" t="s">
        <v>1828</v>
      </c>
      <c r="J377" s="111" t="s">
        <v>1024</v>
      </c>
    </row>
    <row r="378" ht="18.75" hidden="1" customHeight="1">
      <c r="A378" s="111" t="s">
        <v>1590</v>
      </c>
      <c r="B378" s="111" t="s">
        <v>2275</v>
      </c>
      <c r="C378" s="111" t="s">
        <v>2276</v>
      </c>
      <c r="D378" s="111" t="s">
        <v>1593</v>
      </c>
      <c r="E378" s="111" t="s">
        <v>1594</v>
      </c>
      <c r="F378" s="112">
        <v>300.0</v>
      </c>
      <c r="G378" s="111" t="s">
        <v>1830</v>
      </c>
      <c r="H378" s="111" t="s">
        <v>250</v>
      </c>
      <c r="I378" s="111" t="s">
        <v>1831</v>
      </c>
      <c r="J378" s="111" t="s">
        <v>811</v>
      </c>
    </row>
    <row r="379" ht="18.75" hidden="1" customHeight="1">
      <c r="A379" s="111" t="s">
        <v>1590</v>
      </c>
      <c r="B379" s="111" t="s">
        <v>2275</v>
      </c>
      <c r="C379" s="111" t="s">
        <v>2276</v>
      </c>
      <c r="D379" s="111" t="s">
        <v>1593</v>
      </c>
      <c r="E379" s="111" t="s">
        <v>1594</v>
      </c>
      <c r="F379" s="112">
        <v>300.0</v>
      </c>
      <c r="G379" s="111" t="s">
        <v>1832</v>
      </c>
      <c r="H379" s="111" t="s">
        <v>283</v>
      </c>
      <c r="I379" s="111" t="s">
        <v>1833</v>
      </c>
      <c r="J379" s="111" t="s">
        <v>1129</v>
      </c>
    </row>
    <row r="380" ht="18.75" hidden="1" customHeight="1">
      <c r="A380" s="111" t="s">
        <v>1590</v>
      </c>
      <c r="B380" s="111" t="s">
        <v>2275</v>
      </c>
      <c r="C380" s="111" t="s">
        <v>2276</v>
      </c>
      <c r="D380" s="111" t="s">
        <v>1593</v>
      </c>
      <c r="E380" s="111" t="s">
        <v>1594</v>
      </c>
      <c r="F380" s="112">
        <v>300.0</v>
      </c>
      <c r="G380" s="111" t="s">
        <v>1835</v>
      </c>
      <c r="H380" s="111" t="s">
        <v>692</v>
      </c>
      <c r="I380" s="111" t="s">
        <v>1836</v>
      </c>
      <c r="J380" s="111" t="s">
        <v>694</v>
      </c>
    </row>
    <row r="381" ht="18.75" hidden="1" customHeight="1">
      <c r="A381" s="111" t="s">
        <v>1590</v>
      </c>
      <c r="B381" s="111" t="s">
        <v>2275</v>
      </c>
      <c r="C381" s="111" t="s">
        <v>2276</v>
      </c>
      <c r="D381" s="111" t="s">
        <v>1593</v>
      </c>
      <c r="E381" s="111" t="s">
        <v>1594</v>
      </c>
      <c r="F381" s="112">
        <v>300.0</v>
      </c>
      <c r="G381" s="111" t="s">
        <v>1838</v>
      </c>
      <c r="H381" s="111" t="s">
        <v>384</v>
      </c>
      <c r="I381" s="111" t="s">
        <v>1839</v>
      </c>
      <c r="J381" s="111" t="s">
        <v>1105</v>
      </c>
    </row>
    <row r="382" ht="18.75" hidden="1" customHeight="1">
      <c r="A382" s="111" t="s">
        <v>1590</v>
      </c>
      <c r="B382" s="111" t="s">
        <v>2275</v>
      </c>
      <c r="C382" s="111" t="s">
        <v>2276</v>
      </c>
      <c r="D382" s="111" t="s">
        <v>1593</v>
      </c>
      <c r="E382" s="111" t="s">
        <v>1594</v>
      </c>
      <c r="F382" s="112">
        <v>300.0</v>
      </c>
      <c r="G382" s="111" t="s">
        <v>1841</v>
      </c>
      <c r="H382" s="111" t="s">
        <v>1335</v>
      </c>
      <c r="I382" s="111" t="s">
        <v>1842</v>
      </c>
      <c r="J382" s="111" t="s">
        <v>1339</v>
      </c>
    </row>
    <row r="383" ht="18.75" hidden="1" customHeight="1">
      <c r="A383" s="111" t="s">
        <v>1590</v>
      </c>
      <c r="B383" s="111" t="s">
        <v>2275</v>
      </c>
      <c r="C383" s="111" t="s">
        <v>2276</v>
      </c>
      <c r="D383" s="111" t="s">
        <v>1593</v>
      </c>
      <c r="E383" s="111" t="s">
        <v>1594</v>
      </c>
      <c r="F383" s="112">
        <v>300.0</v>
      </c>
      <c r="G383" s="111" t="s">
        <v>1844</v>
      </c>
      <c r="H383" s="111" t="s">
        <v>1261</v>
      </c>
      <c r="I383" s="111" t="s">
        <v>1845</v>
      </c>
      <c r="J383" s="111" t="s">
        <v>1264</v>
      </c>
    </row>
    <row r="384" ht="18.75" hidden="1" customHeight="1">
      <c r="A384" s="111" t="s">
        <v>1590</v>
      </c>
      <c r="B384" s="111" t="s">
        <v>2275</v>
      </c>
      <c r="C384" s="111" t="s">
        <v>2276</v>
      </c>
      <c r="D384" s="111" t="s">
        <v>1593</v>
      </c>
      <c r="E384" s="111" t="s">
        <v>1594</v>
      </c>
      <c r="F384" s="112">
        <v>300.0</v>
      </c>
      <c r="G384" s="111" t="s">
        <v>1847</v>
      </c>
      <c r="H384" s="111" t="s">
        <v>1550</v>
      </c>
      <c r="I384" s="111" t="s">
        <v>1848</v>
      </c>
      <c r="J384" s="111" t="s">
        <v>1552</v>
      </c>
    </row>
    <row r="385" ht="18.75" hidden="1" customHeight="1">
      <c r="A385" s="111" t="s">
        <v>1590</v>
      </c>
      <c r="B385" s="111" t="s">
        <v>2275</v>
      </c>
      <c r="C385" s="111" t="s">
        <v>2276</v>
      </c>
      <c r="D385" s="111" t="s">
        <v>1593</v>
      </c>
      <c r="E385" s="111" t="s">
        <v>1594</v>
      </c>
      <c r="F385" s="112">
        <v>300.0</v>
      </c>
      <c r="G385" s="111" t="s">
        <v>1854</v>
      </c>
      <c r="H385" s="111" t="s">
        <v>1443</v>
      </c>
      <c r="I385" s="111" t="s">
        <v>1855</v>
      </c>
      <c r="J385" s="111" t="s">
        <v>1442</v>
      </c>
    </row>
    <row r="386" ht="18.75" hidden="1" customHeight="1">
      <c r="A386" s="111" t="s">
        <v>1590</v>
      </c>
      <c r="B386" s="111" t="s">
        <v>2275</v>
      </c>
      <c r="C386" s="111" t="s">
        <v>2276</v>
      </c>
      <c r="D386" s="111" t="s">
        <v>1593</v>
      </c>
      <c r="E386" s="111" t="s">
        <v>1594</v>
      </c>
      <c r="F386" s="112">
        <v>300.0</v>
      </c>
      <c r="G386" s="111" t="s">
        <v>1857</v>
      </c>
      <c r="H386" s="111" t="s">
        <v>509</v>
      </c>
      <c r="I386" s="111" t="s">
        <v>1858</v>
      </c>
      <c r="J386" s="111" t="s">
        <v>514</v>
      </c>
    </row>
    <row r="387" ht="18.75" hidden="1" customHeight="1">
      <c r="A387" s="111" t="s">
        <v>1590</v>
      </c>
      <c r="B387" s="111" t="s">
        <v>2275</v>
      </c>
      <c r="C387" s="111" t="s">
        <v>2276</v>
      </c>
      <c r="D387" s="111" t="s">
        <v>1593</v>
      </c>
      <c r="E387" s="111" t="s">
        <v>1594</v>
      </c>
      <c r="F387" s="112">
        <v>300.0</v>
      </c>
      <c r="G387" s="111" t="s">
        <v>1859</v>
      </c>
      <c r="H387" s="111" t="s">
        <v>188</v>
      </c>
      <c r="I387" s="111" t="s">
        <v>1860</v>
      </c>
      <c r="J387" s="111" t="s">
        <v>746</v>
      </c>
    </row>
    <row r="388" ht="18.75" hidden="1" customHeight="1">
      <c r="A388" s="111" t="s">
        <v>1590</v>
      </c>
      <c r="B388" s="111" t="s">
        <v>2275</v>
      </c>
      <c r="C388" s="111" t="s">
        <v>2276</v>
      </c>
      <c r="D388" s="111" t="s">
        <v>1593</v>
      </c>
      <c r="E388" s="111" t="s">
        <v>1594</v>
      </c>
      <c r="F388" s="112">
        <v>300.0</v>
      </c>
      <c r="G388" s="111" t="s">
        <v>1862</v>
      </c>
      <c r="H388" s="111" t="s">
        <v>1084</v>
      </c>
      <c r="I388" s="111" t="s">
        <v>1863</v>
      </c>
      <c r="J388" s="111" t="s">
        <v>1089</v>
      </c>
    </row>
    <row r="389" ht="18.75" hidden="1" customHeight="1">
      <c r="A389" s="111" t="s">
        <v>1590</v>
      </c>
      <c r="B389" s="111" t="s">
        <v>2275</v>
      </c>
      <c r="C389" s="111" t="s">
        <v>2276</v>
      </c>
      <c r="D389" s="111" t="s">
        <v>1593</v>
      </c>
      <c r="E389" s="111" t="s">
        <v>1594</v>
      </c>
      <c r="F389" s="112">
        <v>300.0</v>
      </c>
      <c r="G389" s="111" t="s">
        <v>1864</v>
      </c>
      <c r="H389" s="111" t="s">
        <v>100</v>
      </c>
      <c r="I389" s="111" t="s">
        <v>1865</v>
      </c>
      <c r="J389" s="111" t="s">
        <v>1218</v>
      </c>
    </row>
    <row r="390" ht="18.75" hidden="1" customHeight="1">
      <c r="A390" s="111" t="s">
        <v>1590</v>
      </c>
      <c r="B390" s="111" t="s">
        <v>2275</v>
      </c>
      <c r="C390" s="111" t="s">
        <v>2276</v>
      </c>
      <c r="D390" s="111" t="s">
        <v>1593</v>
      </c>
      <c r="E390" s="111" t="s">
        <v>1594</v>
      </c>
      <c r="F390" s="112">
        <v>300.0</v>
      </c>
      <c r="G390" s="111" t="s">
        <v>1869</v>
      </c>
      <c r="H390" s="111" t="s">
        <v>1491</v>
      </c>
      <c r="I390" s="111" t="s">
        <v>1870</v>
      </c>
      <c r="J390" s="111" t="s">
        <v>1493</v>
      </c>
    </row>
    <row r="391" ht="18.75" hidden="1" customHeight="1">
      <c r="A391" s="111" t="s">
        <v>1590</v>
      </c>
      <c r="B391" s="111" t="s">
        <v>2275</v>
      </c>
      <c r="C391" s="111" t="s">
        <v>2276</v>
      </c>
      <c r="D391" s="111" t="s">
        <v>1593</v>
      </c>
      <c r="E391" s="111" t="s">
        <v>1594</v>
      </c>
      <c r="F391" s="112">
        <v>300.0</v>
      </c>
      <c r="G391" s="111" t="s">
        <v>1871</v>
      </c>
      <c r="H391" s="111" t="s">
        <v>725</v>
      </c>
      <c r="I391" s="111" t="s">
        <v>1872</v>
      </c>
      <c r="J391" s="111" t="s">
        <v>727</v>
      </c>
    </row>
    <row r="392" ht="18.75" hidden="1" customHeight="1">
      <c r="A392" s="111" t="s">
        <v>1590</v>
      </c>
      <c r="B392" s="111" t="s">
        <v>2275</v>
      </c>
      <c r="C392" s="111" t="s">
        <v>2276</v>
      </c>
      <c r="D392" s="111" t="s">
        <v>1593</v>
      </c>
      <c r="E392" s="111" t="s">
        <v>1594</v>
      </c>
      <c r="F392" s="112">
        <v>300.0</v>
      </c>
      <c r="G392" s="111" t="s">
        <v>1873</v>
      </c>
      <c r="H392" s="111" t="s">
        <v>98</v>
      </c>
      <c r="I392" s="111" t="s">
        <v>1874</v>
      </c>
      <c r="J392" s="111" t="s">
        <v>1489</v>
      </c>
    </row>
    <row r="393" ht="18.75" hidden="1" customHeight="1">
      <c r="A393" s="111" t="s">
        <v>1590</v>
      </c>
      <c r="B393" s="111" t="s">
        <v>2275</v>
      </c>
      <c r="C393" s="111" t="s">
        <v>2276</v>
      </c>
      <c r="D393" s="111" t="s">
        <v>1593</v>
      </c>
      <c r="E393" s="111" t="s">
        <v>1594</v>
      </c>
      <c r="F393" s="112">
        <v>300.0</v>
      </c>
      <c r="G393" s="111" t="s">
        <v>1875</v>
      </c>
      <c r="H393" s="111" t="s">
        <v>599</v>
      </c>
      <c r="I393" s="111" t="s">
        <v>1876</v>
      </c>
      <c r="J393" s="111" t="s">
        <v>603</v>
      </c>
    </row>
    <row r="394" ht="18.75" hidden="1" customHeight="1">
      <c r="A394" s="111" t="s">
        <v>1590</v>
      </c>
      <c r="B394" s="111" t="s">
        <v>2275</v>
      </c>
      <c r="C394" s="111" t="s">
        <v>2276</v>
      </c>
      <c r="D394" s="111" t="s">
        <v>1593</v>
      </c>
      <c r="E394" s="111" t="s">
        <v>1594</v>
      </c>
      <c r="F394" s="112">
        <v>300.0</v>
      </c>
      <c r="G394" s="111" t="s">
        <v>1877</v>
      </c>
      <c r="H394" s="111" t="s">
        <v>317</v>
      </c>
      <c r="I394" s="111" t="s">
        <v>1878</v>
      </c>
      <c r="J394" s="111" t="s">
        <v>1451</v>
      </c>
    </row>
    <row r="395" ht="18.75" hidden="1" customHeight="1">
      <c r="A395" s="111" t="s">
        <v>1590</v>
      </c>
      <c r="B395" s="111" t="s">
        <v>2275</v>
      </c>
      <c r="C395" s="111" t="s">
        <v>2276</v>
      </c>
      <c r="D395" s="111" t="s">
        <v>1593</v>
      </c>
      <c r="E395" s="111" t="s">
        <v>1594</v>
      </c>
      <c r="F395" s="112">
        <v>300.0</v>
      </c>
      <c r="G395" s="111" t="s">
        <v>1879</v>
      </c>
      <c r="H395" s="111" t="s">
        <v>405</v>
      </c>
      <c r="I395" s="111" t="s">
        <v>1880</v>
      </c>
      <c r="J395" s="111" t="s">
        <v>580</v>
      </c>
    </row>
    <row r="396" ht="18.75" hidden="1" customHeight="1">
      <c r="A396" s="111" t="s">
        <v>1590</v>
      </c>
      <c r="B396" s="111" t="s">
        <v>2275</v>
      </c>
      <c r="C396" s="111" t="s">
        <v>2276</v>
      </c>
      <c r="D396" s="111" t="s">
        <v>1593</v>
      </c>
      <c r="E396" s="111" t="s">
        <v>1594</v>
      </c>
      <c r="F396" s="112">
        <v>300.0</v>
      </c>
      <c r="G396" s="111" t="s">
        <v>1881</v>
      </c>
      <c r="H396" s="111" t="s">
        <v>314</v>
      </c>
      <c r="I396" s="111" t="s">
        <v>1882</v>
      </c>
      <c r="J396" s="111" t="s">
        <v>1465</v>
      </c>
    </row>
    <row r="397" ht="18.75" hidden="1" customHeight="1">
      <c r="A397" s="111" t="s">
        <v>1590</v>
      </c>
      <c r="B397" s="111" t="s">
        <v>2275</v>
      </c>
      <c r="C397" s="111" t="s">
        <v>2276</v>
      </c>
      <c r="D397" s="111" t="s">
        <v>1593</v>
      </c>
      <c r="E397" s="111" t="s">
        <v>1594</v>
      </c>
      <c r="F397" s="112">
        <v>300.0</v>
      </c>
      <c r="G397" s="111" t="s">
        <v>1883</v>
      </c>
      <c r="H397" s="111" t="s">
        <v>644</v>
      </c>
      <c r="I397" s="111" t="s">
        <v>1884</v>
      </c>
      <c r="J397" s="111" t="s">
        <v>655</v>
      </c>
    </row>
    <row r="398" ht="18.75" hidden="1" customHeight="1">
      <c r="A398" s="111" t="s">
        <v>1590</v>
      </c>
      <c r="B398" s="111" t="s">
        <v>2275</v>
      </c>
      <c r="C398" s="111" t="s">
        <v>2276</v>
      </c>
      <c r="D398" s="111" t="s">
        <v>1593</v>
      </c>
      <c r="E398" s="111" t="s">
        <v>1594</v>
      </c>
      <c r="F398" s="112">
        <v>300.0</v>
      </c>
      <c r="G398" s="111" t="s">
        <v>1885</v>
      </c>
      <c r="H398" s="111" t="s">
        <v>658</v>
      </c>
      <c r="I398" s="111" t="s">
        <v>1886</v>
      </c>
      <c r="J398" s="111" t="s">
        <v>660</v>
      </c>
    </row>
    <row r="399" ht="18.75" hidden="1" customHeight="1">
      <c r="A399" s="111" t="s">
        <v>1590</v>
      </c>
      <c r="B399" s="111" t="s">
        <v>2275</v>
      </c>
      <c r="C399" s="111" t="s">
        <v>2276</v>
      </c>
      <c r="D399" s="111" t="s">
        <v>1593</v>
      </c>
      <c r="E399" s="111" t="s">
        <v>1594</v>
      </c>
      <c r="F399" s="112">
        <v>300.0</v>
      </c>
      <c r="G399" s="111" t="s">
        <v>1887</v>
      </c>
      <c r="H399" s="111" t="s">
        <v>374</v>
      </c>
      <c r="I399" s="111" t="s">
        <v>1888</v>
      </c>
      <c r="J399" s="111" t="s">
        <v>575</v>
      </c>
    </row>
    <row r="400" ht="18.75" hidden="1" customHeight="1">
      <c r="A400" s="111" t="s">
        <v>1590</v>
      </c>
      <c r="B400" s="111" t="s">
        <v>2275</v>
      </c>
      <c r="C400" s="111" t="s">
        <v>2276</v>
      </c>
      <c r="D400" s="111" t="s">
        <v>1593</v>
      </c>
      <c r="E400" s="111" t="s">
        <v>1594</v>
      </c>
      <c r="F400" s="112">
        <v>300.0</v>
      </c>
      <c r="G400" s="111" t="s">
        <v>1889</v>
      </c>
      <c r="H400" s="111" t="s">
        <v>481</v>
      </c>
      <c r="I400" s="111" t="s">
        <v>1890</v>
      </c>
      <c r="J400" s="111" t="s">
        <v>483</v>
      </c>
    </row>
    <row r="401" ht="18.75" hidden="1" customHeight="1">
      <c r="A401" s="111" t="s">
        <v>1590</v>
      </c>
      <c r="B401" s="111" t="s">
        <v>2275</v>
      </c>
      <c r="C401" s="111" t="s">
        <v>2276</v>
      </c>
      <c r="D401" s="111" t="s">
        <v>1593</v>
      </c>
      <c r="E401" s="111" t="s">
        <v>1594</v>
      </c>
      <c r="F401" s="112">
        <v>300.0</v>
      </c>
      <c r="G401" s="111" t="s">
        <v>1891</v>
      </c>
      <c r="H401" s="111" t="s">
        <v>406</v>
      </c>
      <c r="I401" s="111" t="s">
        <v>1892</v>
      </c>
      <c r="J401" s="111" t="s">
        <v>949</v>
      </c>
    </row>
    <row r="402" ht="18.75" hidden="1" customHeight="1">
      <c r="A402" s="111" t="s">
        <v>1590</v>
      </c>
      <c r="B402" s="111" t="s">
        <v>2275</v>
      </c>
      <c r="C402" s="111" t="s">
        <v>2276</v>
      </c>
      <c r="D402" s="111" t="s">
        <v>1593</v>
      </c>
      <c r="E402" s="111" t="s">
        <v>1594</v>
      </c>
      <c r="F402" s="112">
        <v>300.0</v>
      </c>
      <c r="G402" s="111" t="s">
        <v>1893</v>
      </c>
      <c r="H402" s="111" t="s">
        <v>205</v>
      </c>
      <c r="I402" s="111" t="s">
        <v>1894</v>
      </c>
      <c r="J402" s="111" t="s">
        <v>1207</v>
      </c>
    </row>
    <row r="403" ht="18.75" hidden="1" customHeight="1">
      <c r="A403" s="111" t="s">
        <v>1590</v>
      </c>
      <c r="B403" s="111" t="s">
        <v>2275</v>
      </c>
      <c r="C403" s="111" t="s">
        <v>2276</v>
      </c>
      <c r="D403" s="111" t="s">
        <v>1593</v>
      </c>
      <c r="E403" s="111" t="s">
        <v>1594</v>
      </c>
      <c r="F403" s="112">
        <v>300.0</v>
      </c>
      <c r="G403" s="111" t="s">
        <v>1601</v>
      </c>
      <c r="H403" s="111" t="s">
        <v>1602</v>
      </c>
      <c r="I403" s="111" t="s">
        <v>1603</v>
      </c>
      <c r="J403" s="111" t="s">
        <v>1604</v>
      </c>
    </row>
    <row r="404" ht="18.75" hidden="1" customHeight="1">
      <c r="A404" s="111" t="s">
        <v>1590</v>
      </c>
      <c r="B404" s="111" t="s">
        <v>2275</v>
      </c>
      <c r="C404" s="111" t="s">
        <v>2276</v>
      </c>
      <c r="D404" s="111" t="s">
        <v>1593</v>
      </c>
      <c r="E404" s="111" t="s">
        <v>1594</v>
      </c>
      <c r="F404" s="112">
        <v>300.0</v>
      </c>
      <c r="G404" s="111" t="s">
        <v>1895</v>
      </c>
      <c r="H404" s="111" t="s">
        <v>248</v>
      </c>
      <c r="I404" s="111" t="s">
        <v>1896</v>
      </c>
      <c r="J404" s="111" t="s">
        <v>688</v>
      </c>
    </row>
    <row r="405" ht="18.75" hidden="1" customHeight="1">
      <c r="A405" s="111" t="s">
        <v>1590</v>
      </c>
      <c r="B405" s="111" t="s">
        <v>2275</v>
      </c>
      <c r="C405" s="111" t="s">
        <v>2276</v>
      </c>
      <c r="D405" s="111" t="s">
        <v>1593</v>
      </c>
      <c r="E405" s="111" t="s">
        <v>1594</v>
      </c>
      <c r="F405" s="112">
        <v>300.0</v>
      </c>
      <c r="G405" s="111" t="s">
        <v>1897</v>
      </c>
      <c r="H405" s="111" t="s">
        <v>209</v>
      </c>
      <c r="I405" s="111" t="s">
        <v>1898</v>
      </c>
      <c r="J405" s="111" t="s">
        <v>1116</v>
      </c>
    </row>
    <row r="406" ht="18.75" hidden="1" customHeight="1">
      <c r="A406" s="111" t="s">
        <v>1590</v>
      </c>
      <c r="B406" s="111" t="s">
        <v>2275</v>
      </c>
      <c r="C406" s="111" t="s">
        <v>2276</v>
      </c>
      <c r="D406" s="111" t="s">
        <v>1593</v>
      </c>
      <c r="E406" s="111" t="s">
        <v>1594</v>
      </c>
      <c r="F406" s="112">
        <v>300.0</v>
      </c>
      <c r="G406" s="111" t="s">
        <v>1899</v>
      </c>
      <c r="H406" s="111" t="s">
        <v>1294</v>
      </c>
      <c r="I406" s="111" t="s">
        <v>1900</v>
      </c>
      <c r="J406" s="111" t="s">
        <v>1300</v>
      </c>
    </row>
    <row r="407" ht="18.75" hidden="1" customHeight="1">
      <c r="A407" s="111" t="s">
        <v>1590</v>
      </c>
      <c r="B407" s="111" t="s">
        <v>2275</v>
      </c>
      <c r="C407" s="111" t="s">
        <v>2276</v>
      </c>
      <c r="D407" s="111" t="s">
        <v>1593</v>
      </c>
      <c r="E407" s="111" t="s">
        <v>1594</v>
      </c>
      <c r="F407" s="112">
        <v>300.0</v>
      </c>
      <c r="G407" s="111" t="s">
        <v>1901</v>
      </c>
      <c r="H407" s="111" t="s">
        <v>1902</v>
      </c>
      <c r="I407" s="111" t="s">
        <v>1903</v>
      </c>
      <c r="J407" s="111" t="s">
        <v>1559</v>
      </c>
    </row>
    <row r="408" ht="18.75" hidden="1" customHeight="1">
      <c r="A408" s="111" t="s">
        <v>1590</v>
      </c>
      <c r="B408" s="111" t="s">
        <v>2275</v>
      </c>
      <c r="C408" s="111" t="s">
        <v>2276</v>
      </c>
      <c r="D408" s="111" t="s">
        <v>1593</v>
      </c>
      <c r="E408" s="111" t="s">
        <v>1594</v>
      </c>
      <c r="F408" s="112">
        <v>300.0</v>
      </c>
      <c r="G408" s="111" t="s">
        <v>1904</v>
      </c>
      <c r="H408" s="111" t="s">
        <v>753</v>
      </c>
      <c r="I408" s="111" t="s">
        <v>1905</v>
      </c>
      <c r="J408" s="111" t="s">
        <v>755</v>
      </c>
    </row>
    <row r="409" ht="18.75" hidden="1" customHeight="1">
      <c r="A409" s="111" t="s">
        <v>1590</v>
      </c>
      <c r="B409" s="111" t="s">
        <v>2275</v>
      </c>
      <c r="C409" s="111" t="s">
        <v>2276</v>
      </c>
      <c r="D409" s="111" t="s">
        <v>1593</v>
      </c>
      <c r="E409" s="111" t="s">
        <v>1594</v>
      </c>
      <c r="F409" s="112">
        <v>300.0</v>
      </c>
      <c r="G409" s="111" t="s">
        <v>1906</v>
      </c>
      <c r="H409" s="111" t="s">
        <v>1368</v>
      </c>
      <c r="I409" s="111" t="s">
        <v>1907</v>
      </c>
      <c r="J409" s="111" t="s">
        <v>1370</v>
      </c>
    </row>
    <row r="410" ht="18.75" hidden="1" customHeight="1">
      <c r="A410" s="111" t="s">
        <v>1590</v>
      </c>
      <c r="B410" s="111" t="s">
        <v>2275</v>
      </c>
      <c r="C410" s="111" t="s">
        <v>2276</v>
      </c>
      <c r="D410" s="111" t="s">
        <v>1593</v>
      </c>
      <c r="E410" s="111" t="s">
        <v>1594</v>
      </c>
      <c r="F410" s="112">
        <v>300.0</v>
      </c>
      <c r="G410" s="111" t="s">
        <v>1908</v>
      </c>
      <c r="H410" s="111" t="s">
        <v>1051</v>
      </c>
      <c r="I410" s="111" t="s">
        <v>1909</v>
      </c>
      <c r="J410" s="111" t="s">
        <v>1050</v>
      </c>
    </row>
    <row r="411" ht="18.75" hidden="1" customHeight="1">
      <c r="A411" s="111" t="s">
        <v>1590</v>
      </c>
      <c r="B411" s="111" t="s">
        <v>2275</v>
      </c>
      <c r="C411" s="111" t="s">
        <v>2276</v>
      </c>
      <c r="D411" s="111" t="s">
        <v>1593</v>
      </c>
      <c r="E411" s="111" t="s">
        <v>1594</v>
      </c>
      <c r="F411" s="112">
        <v>300.0</v>
      </c>
      <c r="G411" s="111" t="s">
        <v>1910</v>
      </c>
      <c r="H411" s="111" t="s">
        <v>95</v>
      </c>
      <c r="I411" s="111" t="s">
        <v>1911</v>
      </c>
      <c r="J411" s="111" t="s">
        <v>1076</v>
      </c>
    </row>
    <row r="412" ht="18.75" hidden="1" customHeight="1">
      <c r="A412" s="111" t="s">
        <v>1590</v>
      </c>
      <c r="B412" s="111" t="s">
        <v>2275</v>
      </c>
      <c r="C412" s="111" t="s">
        <v>2276</v>
      </c>
      <c r="D412" s="111" t="s">
        <v>1593</v>
      </c>
      <c r="E412" s="111" t="s">
        <v>1594</v>
      </c>
      <c r="F412" s="112">
        <v>300.0</v>
      </c>
      <c r="G412" s="111" t="s">
        <v>1912</v>
      </c>
      <c r="H412" s="111" t="s">
        <v>181</v>
      </c>
      <c r="I412" s="111" t="s">
        <v>1913</v>
      </c>
      <c r="J412" s="111" t="s">
        <v>765</v>
      </c>
    </row>
    <row r="413" ht="18.75" hidden="1" customHeight="1">
      <c r="A413" s="111" t="s">
        <v>1590</v>
      </c>
      <c r="B413" s="111" t="s">
        <v>2275</v>
      </c>
      <c r="C413" s="111" t="s">
        <v>2276</v>
      </c>
      <c r="D413" s="111" t="s">
        <v>1593</v>
      </c>
      <c r="E413" s="111" t="s">
        <v>1594</v>
      </c>
      <c r="F413" s="112">
        <v>300.0</v>
      </c>
      <c r="G413" s="111" t="s">
        <v>1914</v>
      </c>
      <c r="H413" s="111" t="s">
        <v>733</v>
      </c>
      <c r="I413" s="111" t="s">
        <v>1915</v>
      </c>
      <c r="J413" s="111" t="s">
        <v>736</v>
      </c>
    </row>
    <row r="414" ht="18.75" hidden="1" customHeight="1">
      <c r="A414" s="111" t="s">
        <v>1590</v>
      </c>
      <c r="B414" s="111" t="s">
        <v>2275</v>
      </c>
      <c r="C414" s="111" t="s">
        <v>2276</v>
      </c>
      <c r="D414" s="111" t="s">
        <v>1593</v>
      </c>
      <c r="E414" s="111" t="s">
        <v>1594</v>
      </c>
      <c r="F414" s="112">
        <v>300.0</v>
      </c>
      <c r="G414" s="111" t="s">
        <v>1916</v>
      </c>
      <c r="H414" s="111" t="s">
        <v>238</v>
      </c>
      <c r="I414" s="111" t="s">
        <v>1917</v>
      </c>
      <c r="J414" s="111" t="s">
        <v>729</v>
      </c>
    </row>
    <row r="415" ht="18.75" hidden="1" customHeight="1">
      <c r="A415" s="111" t="s">
        <v>1590</v>
      </c>
      <c r="B415" s="111" t="s">
        <v>2275</v>
      </c>
      <c r="C415" s="111" t="s">
        <v>2276</v>
      </c>
      <c r="D415" s="111" t="s">
        <v>1593</v>
      </c>
      <c r="E415" s="111" t="s">
        <v>1594</v>
      </c>
      <c r="F415" s="112">
        <v>300.0</v>
      </c>
      <c r="G415" s="111" t="s">
        <v>1918</v>
      </c>
      <c r="H415" s="111" t="s">
        <v>216</v>
      </c>
      <c r="I415" s="111" t="s">
        <v>1919</v>
      </c>
      <c r="J415" s="111" t="s">
        <v>215</v>
      </c>
    </row>
    <row r="416" ht="18.75" hidden="1" customHeight="1">
      <c r="A416" s="111" t="s">
        <v>1590</v>
      </c>
      <c r="B416" s="111" t="s">
        <v>2275</v>
      </c>
      <c r="C416" s="111" t="s">
        <v>2276</v>
      </c>
      <c r="D416" s="111" t="s">
        <v>1593</v>
      </c>
      <c r="E416" s="111" t="s">
        <v>1594</v>
      </c>
      <c r="F416" s="112">
        <v>300.0</v>
      </c>
      <c r="G416" s="111" t="s">
        <v>1920</v>
      </c>
      <c r="H416" s="111" t="s">
        <v>403</v>
      </c>
      <c r="I416" s="111" t="s">
        <v>1921</v>
      </c>
      <c r="J416" s="111" t="s">
        <v>501</v>
      </c>
    </row>
    <row r="417" ht="18.75" hidden="1" customHeight="1">
      <c r="A417" s="111" t="s">
        <v>1590</v>
      </c>
      <c r="B417" s="111" t="s">
        <v>2275</v>
      </c>
      <c r="C417" s="111" t="s">
        <v>2276</v>
      </c>
      <c r="D417" s="111" t="s">
        <v>1593</v>
      </c>
      <c r="E417" s="111" t="s">
        <v>1594</v>
      </c>
      <c r="F417" s="112">
        <v>300.0</v>
      </c>
      <c r="G417" s="111" t="s">
        <v>1922</v>
      </c>
      <c r="H417" s="111" t="s">
        <v>1505</v>
      </c>
      <c r="I417" s="111" t="s">
        <v>1923</v>
      </c>
      <c r="J417" s="111" t="s">
        <v>1507</v>
      </c>
    </row>
    <row r="418" ht="18.75" hidden="1" customHeight="1">
      <c r="A418" s="111" t="s">
        <v>1590</v>
      </c>
      <c r="B418" s="111" t="s">
        <v>2275</v>
      </c>
      <c r="C418" s="111" t="s">
        <v>2276</v>
      </c>
      <c r="D418" s="111" t="s">
        <v>1593</v>
      </c>
      <c r="E418" s="111" t="s">
        <v>1594</v>
      </c>
      <c r="F418" s="112">
        <v>300.0</v>
      </c>
      <c r="G418" s="111" t="s">
        <v>1924</v>
      </c>
      <c r="H418" s="111" t="s">
        <v>306</v>
      </c>
      <c r="I418" s="111" t="s">
        <v>1925</v>
      </c>
      <c r="J418" s="111" t="s">
        <v>304</v>
      </c>
    </row>
    <row r="419" ht="18.75" hidden="1" customHeight="1">
      <c r="A419" s="111" t="s">
        <v>1590</v>
      </c>
      <c r="B419" s="111" t="s">
        <v>2275</v>
      </c>
      <c r="C419" s="111" t="s">
        <v>2276</v>
      </c>
      <c r="D419" s="111" t="s">
        <v>1593</v>
      </c>
      <c r="E419" s="111" t="s">
        <v>1594</v>
      </c>
      <c r="F419" s="112">
        <v>300.0</v>
      </c>
      <c r="G419" s="111" t="s">
        <v>1926</v>
      </c>
      <c r="H419" s="111" t="s">
        <v>1057</v>
      </c>
      <c r="I419" s="111" t="s">
        <v>1927</v>
      </c>
      <c r="J419" s="111" t="s">
        <v>1055</v>
      </c>
    </row>
    <row r="420" ht="18.75" hidden="1" customHeight="1">
      <c r="A420" s="111" t="s">
        <v>1590</v>
      </c>
      <c r="B420" s="111" t="s">
        <v>2275</v>
      </c>
      <c r="C420" s="111" t="s">
        <v>2276</v>
      </c>
      <c r="D420" s="111" t="s">
        <v>1593</v>
      </c>
      <c r="E420" s="111" t="s">
        <v>1594</v>
      </c>
      <c r="F420" s="112">
        <v>300.0</v>
      </c>
      <c r="G420" s="111" t="s">
        <v>1928</v>
      </c>
      <c r="H420" s="111" t="s">
        <v>115</v>
      </c>
      <c r="I420" s="111" t="s">
        <v>1929</v>
      </c>
      <c r="J420" s="111" t="s">
        <v>689</v>
      </c>
    </row>
    <row r="421" ht="18.75" hidden="1" customHeight="1">
      <c r="A421" s="111" t="s">
        <v>1590</v>
      </c>
      <c r="B421" s="111" t="s">
        <v>2275</v>
      </c>
      <c r="C421" s="111" t="s">
        <v>2276</v>
      </c>
      <c r="D421" s="111" t="s">
        <v>1593</v>
      </c>
      <c r="E421" s="111" t="s">
        <v>1594</v>
      </c>
      <c r="F421" s="112">
        <v>300.0</v>
      </c>
      <c r="G421" s="111" t="s">
        <v>1930</v>
      </c>
      <c r="H421" s="111" t="s">
        <v>1525</v>
      </c>
      <c r="I421" s="111" t="s">
        <v>1931</v>
      </c>
      <c r="J421" s="111" t="s">
        <v>1527</v>
      </c>
    </row>
    <row r="422" ht="18.75" hidden="1" customHeight="1">
      <c r="A422" s="111" t="s">
        <v>1590</v>
      </c>
      <c r="B422" s="111" t="s">
        <v>2275</v>
      </c>
      <c r="C422" s="111" t="s">
        <v>2276</v>
      </c>
      <c r="D422" s="111" t="s">
        <v>1593</v>
      </c>
      <c r="E422" s="111" t="s">
        <v>1594</v>
      </c>
      <c r="F422" s="112">
        <v>300.0</v>
      </c>
      <c r="G422" s="111" t="s">
        <v>1932</v>
      </c>
      <c r="H422" s="111" t="s">
        <v>275</v>
      </c>
      <c r="I422" s="111" t="s">
        <v>1933</v>
      </c>
      <c r="J422" s="111" t="s">
        <v>1236</v>
      </c>
    </row>
    <row r="423" ht="18.75" hidden="1" customHeight="1">
      <c r="A423" s="111" t="s">
        <v>1590</v>
      </c>
      <c r="B423" s="111" t="s">
        <v>2275</v>
      </c>
      <c r="C423" s="111" t="s">
        <v>2276</v>
      </c>
      <c r="D423" s="111" t="s">
        <v>1593</v>
      </c>
      <c r="E423" s="111" t="s">
        <v>1594</v>
      </c>
      <c r="F423" s="112">
        <v>300.0</v>
      </c>
      <c r="G423" s="111" t="s">
        <v>1934</v>
      </c>
      <c r="H423" s="111" t="s">
        <v>121</v>
      </c>
      <c r="I423" s="111" t="s">
        <v>1935</v>
      </c>
      <c r="J423" s="111" t="s">
        <v>702</v>
      </c>
    </row>
    <row r="424" ht="18.75" hidden="1" customHeight="1">
      <c r="A424" s="111" t="s">
        <v>1590</v>
      </c>
      <c r="B424" s="111" t="s">
        <v>2275</v>
      </c>
      <c r="C424" s="111" t="s">
        <v>2276</v>
      </c>
      <c r="D424" s="111" t="s">
        <v>1593</v>
      </c>
      <c r="E424" s="111" t="s">
        <v>1594</v>
      </c>
      <c r="F424" s="112">
        <v>300.0</v>
      </c>
      <c r="G424" s="111" t="s">
        <v>1936</v>
      </c>
      <c r="H424" s="111" t="s">
        <v>135</v>
      </c>
      <c r="I424" s="111" t="s">
        <v>1937</v>
      </c>
      <c r="J424" s="111" t="s">
        <v>1457</v>
      </c>
    </row>
    <row r="425" ht="18.75" hidden="1" customHeight="1">
      <c r="A425" s="111" t="s">
        <v>1590</v>
      </c>
      <c r="B425" s="111" t="s">
        <v>2275</v>
      </c>
      <c r="C425" s="111" t="s">
        <v>2276</v>
      </c>
      <c r="D425" s="111" t="s">
        <v>1593</v>
      </c>
      <c r="E425" s="111" t="s">
        <v>1594</v>
      </c>
      <c r="F425" s="112">
        <v>300.0</v>
      </c>
      <c r="G425" s="111" t="s">
        <v>1938</v>
      </c>
      <c r="H425" s="111" t="s">
        <v>661</v>
      </c>
      <c r="I425" s="111" t="s">
        <v>1939</v>
      </c>
      <c r="J425" s="111" t="s">
        <v>663</v>
      </c>
    </row>
    <row r="426" ht="18.75" hidden="1" customHeight="1">
      <c r="A426" s="111" t="s">
        <v>1590</v>
      </c>
      <c r="B426" s="111" t="s">
        <v>2275</v>
      </c>
      <c r="C426" s="111" t="s">
        <v>2276</v>
      </c>
      <c r="D426" s="111" t="s">
        <v>1593</v>
      </c>
      <c r="E426" s="111" t="s">
        <v>1594</v>
      </c>
      <c r="F426" s="112">
        <v>300.0</v>
      </c>
      <c r="G426" s="111" t="s">
        <v>1940</v>
      </c>
      <c r="H426" s="111" t="s">
        <v>118</v>
      </c>
      <c r="I426" s="111" t="s">
        <v>1941</v>
      </c>
      <c r="J426" s="111" t="s">
        <v>676</v>
      </c>
    </row>
    <row r="427" ht="18.75" hidden="1" customHeight="1">
      <c r="A427" s="111" t="s">
        <v>1590</v>
      </c>
      <c r="B427" s="111" t="s">
        <v>2275</v>
      </c>
      <c r="C427" s="111" t="s">
        <v>2276</v>
      </c>
      <c r="D427" s="111" t="s">
        <v>1593</v>
      </c>
      <c r="E427" s="111" t="s">
        <v>1594</v>
      </c>
      <c r="F427" s="112">
        <v>300.0</v>
      </c>
      <c r="G427" s="111" t="s">
        <v>1942</v>
      </c>
      <c r="H427" s="111" t="s">
        <v>147</v>
      </c>
      <c r="I427" s="111" t="s">
        <v>1943</v>
      </c>
      <c r="J427" s="111" t="s">
        <v>592</v>
      </c>
    </row>
    <row r="428" ht="18.75" hidden="1" customHeight="1">
      <c r="A428" s="111" t="s">
        <v>1590</v>
      </c>
      <c r="B428" s="111" t="s">
        <v>2275</v>
      </c>
      <c r="C428" s="111" t="s">
        <v>2276</v>
      </c>
      <c r="D428" s="111" t="s">
        <v>1593</v>
      </c>
      <c r="E428" s="111" t="s">
        <v>1594</v>
      </c>
      <c r="F428" s="112">
        <v>300.0</v>
      </c>
      <c r="G428" s="111" t="s">
        <v>1944</v>
      </c>
      <c r="H428" s="111" t="s">
        <v>1945</v>
      </c>
      <c r="I428" s="111" t="s">
        <v>1946</v>
      </c>
      <c r="J428" s="111" t="s">
        <v>1947</v>
      </c>
    </row>
    <row r="429" ht="18.75" hidden="1" customHeight="1">
      <c r="A429" s="111" t="s">
        <v>1590</v>
      </c>
      <c r="B429" s="111" t="s">
        <v>2275</v>
      </c>
      <c r="C429" s="111" t="s">
        <v>2276</v>
      </c>
      <c r="D429" s="111" t="s">
        <v>1593</v>
      </c>
      <c r="E429" s="111" t="s">
        <v>1594</v>
      </c>
      <c r="F429" s="112">
        <v>300.0</v>
      </c>
      <c r="G429" s="111" t="s">
        <v>1948</v>
      </c>
      <c r="H429" s="111" t="s">
        <v>516</v>
      </c>
      <c r="I429" s="111" t="s">
        <v>1949</v>
      </c>
      <c r="J429" s="111" t="s">
        <v>515</v>
      </c>
    </row>
    <row r="430" ht="18.75" hidden="1" customHeight="1">
      <c r="A430" s="111" t="s">
        <v>1590</v>
      </c>
      <c r="B430" s="111" t="s">
        <v>2275</v>
      </c>
      <c r="C430" s="111" t="s">
        <v>2276</v>
      </c>
      <c r="D430" s="111" t="s">
        <v>1593</v>
      </c>
      <c r="E430" s="111" t="s">
        <v>1594</v>
      </c>
      <c r="F430" s="112">
        <v>300.0</v>
      </c>
      <c r="G430" s="111" t="s">
        <v>1950</v>
      </c>
      <c r="H430" s="111" t="s">
        <v>1473</v>
      </c>
      <c r="I430" s="111" t="s">
        <v>1951</v>
      </c>
      <c r="J430" s="111" t="s">
        <v>1472</v>
      </c>
    </row>
    <row r="431" ht="18.75" hidden="1" customHeight="1">
      <c r="A431" s="111" t="s">
        <v>1590</v>
      </c>
      <c r="B431" s="111" t="s">
        <v>2275</v>
      </c>
      <c r="C431" s="111" t="s">
        <v>2276</v>
      </c>
      <c r="D431" s="111" t="s">
        <v>1593</v>
      </c>
      <c r="E431" s="111" t="s">
        <v>1594</v>
      </c>
      <c r="F431" s="112">
        <v>300.0</v>
      </c>
      <c r="G431" s="111" t="s">
        <v>1952</v>
      </c>
      <c r="H431" s="111" t="s">
        <v>133</v>
      </c>
      <c r="I431" s="111" t="s">
        <v>1953</v>
      </c>
      <c r="J431" s="111" t="s">
        <v>742</v>
      </c>
    </row>
    <row r="432" ht="18.75" hidden="1" customHeight="1">
      <c r="A432" s="111" t="s">
        <v>1590</v>
      </c>
      <c r="B432" s="111" t="s">
        <v>2275</v>
      </c>
      <c r="C432" s="111" t="s">
        <v>2276</v>
      </c>
      <c r="D432" s="111" t="s">
        <v>1593</v>
      </c>
      <c r="E432" s="111" t="s">
        <v>1594</v>
      </c>
      <c r="F432" s="112">
        <v>300.0</v>
      </c>
      <c r="G432" s="111" t="s">
        <v>1954</v>
      </c>
      <c r="H432" s="111" t="s">
        <v>102</v>
      </c>
      <c r="I432" s="111" t="s">
        <v>1955</v>
      </c>
      <c r="J432" s="111" t="s">
        <v>1397</v>
      </c>
    </row>
    <row r="433" ht="18.75" hidden="1" customHeight="1">
      <c r="A433" s="111" t="s">
        <v>1590</v>
      </c>
      <c r="B433" s="111" t="s">
        <v>2275</v>
      </c>
      <c r="C433" s="111" t="s">
        <v>2276</v>
      </c>
      <c r="D433" s="111" t="s">
        <v>1593</v>
      </c>
      <c r="E433" s="111" t="s">
        <v>1594</v>
      </c>
      <c r="F433" s="112">
        <v>300.0</v>
      </c>
      <c r="G433" s="111" t="s">
        <v>1956</v>
      </c>
      <c r="H433" s="111" t="s">
        <v>326</v>
      </c>
      <c r="I433" s="111" t="s">
        <v>1957</v>
      </c>
      <c r="J433" s="111" t="s">
        <v>1521</v>
      </c>
    </row>
    <row r="434" ht="18.75" hidden="1" customHeight="1">
      <c r="A434" s="111" t="s">
        <v>1590</v>
      </c>
      <c r="B434" s="111" t="s">
        <v>2275</v>
      </c>
      <c r="C434" s="111" t="s">
        <v>2276</v>
      </c>
      <c r="D434" s="111" t="s">
        <v>1593</v>
      </c>
      <c r="E434" s="111" t="s">
        <v>1594</v>
      </c>
      <c r="F434" s="112">
        <v>300.0</v>
      </c>
      <c r="G434" s="111" t="s">
        <v>1958</v>
      </c>
      <c r="H434" s="111" t="s">
        <v>246</v>
      </c>
      <c r="I434" s="111" t="s">
        <v>1959</v>
      </c>
      <c r="J434" s="111" t="s">
        <v>1020</v>
      </c>
    </row>
    <row r="435" ht="18.75" hidden="1" customHeight="1">
      <c r="A435" s="111" t="s">
        <v>1590</v>
      </c>
      <c r="B435" s="111" t="s">
        <v>2275</v>
      </c>
      <c r="C435" s="111" t="s">
        <v>2276</v>
      </c>
      <c r="D435" s="111" t="s">
        <v>1593</v>
      </c>
      <c r="E435" s="111" t="s">
        <v>1594</v>
      </c>
      <c r="F435" s="112">
        <v>300.0</v>
      </c>
      <c r="G435" s="111" t="s">
        <v>1961</v>
      </c>
      <c r="H435" s="111" t="s">
        <v>230</v>
      </c>
      <c r="I435" s="111" t="s">
        <v>1962</v>
      </c>
      <c r="J435" s="111" t="s">
        <v>1174</v>
      </c>
    </row>
    <row r="436" ht="18.75" hidden="1" customHeight="1">
      <c r="A436" s="111" t="s">
        <v>1590</v>
      </c>
      <c r="B436" s="111" t="s">
        <v>2275</v>
      </c>
      <c r="C436" s="111" t="s">
        <v>2276</v>
      </c>
      <c r="D436" s="111" t="s">
        <v>1593</v>
      </c>
      <c r="E436" s="111" t="s">
        <v>1594</v>
      </c>
      <c r="F436" s="112">
        <v>300.0</v>
      </c>
      <c r="G436" s="111" t="s">
        <v>1963</v>
      </c>
      <c r="H436" s="111" t="s">
        <v>543</v>
      </c>
      <c r="I436" s="111" t="s">
        <v>1964</v>
      </c>
      <c r="J436" s="111" t="s">
        <v>545</v>
      </c>
    </row>
    <row r="437" ht="18.75" hidden="1" customHeight="1">
      <c r="A437" s="111" t="s">
        <v>1590</v>
      </c>
      <c r="B437" s="111" t="s">
        <v>2275</v>
      </c>
      <c r="C437" s="111" t="s">
        <v>2276</v>
      </c>
      <c r="D437" s="111" t="s">
        <v>1593</v>
      </c>
      <c r="E437" s="111" t="s">
        <v>1594</v>
      </c>
      <c r="F437" s="112">
        <v>300.0</v>
      </c>
      <c r="G437" s="111" t="s">
        <v>1967</v>
      </c>
      <c r="H437" s="111" t="s">
        <v>1384</v>
      </c>
      <c r="I437" s="111" t="s">
        <v>1968</v>
      </c>
      <c r="J437" s="111" t="s">
        <v>1383</v>
      </c>
    </row>
    <row r="438" ht="18.75" hidden="1" customHeight="1">
      <c r="A438" s="111" t="s">
        <v>1590</v>
      </c>
      <c r="B438" s="111" t="s">
        <v>2275</v>
      </c>
      <c r="C438" s="111" t="s">
        <v>2276</v>
      </c>
      <c r="D438" s="111" t="s">
        <v>1593</v>
      </c>
      <c r="E438" s="111" t="s">
        <v>1594</v>
      </c>
      <c r="F438" s="112">
        <v>300.0</v>
      </c>
      <c r="G438" s="111" t="s">
        <v>1969</v>
      </c>
      <c r="H438" s="111" t="s">
        <v>1476</v>
      </c>
      <c r="I438" s="111" t="s">
        <v>1970</v>
      </c>
      <c r="J438" s="111" t="s">
        <v>1481</v>
      </c>
    </row>
    <row r="439" ht="18.75" hidden="1" customHeight="1">
      <c r="A439" s="111" t="s">
        <v>1590</v>
      </c>
      <c r="B439" s="111" t="s">
        <v>2275</v>
      </c>
      <c r="C439" s="111" t="s">
        <v>2276</v>
      </c>
      <c r="D439" s="111" t="s">
        <v>1593</v>
      </c>
      <c r="E439" s="111" t="s">
        <v>1594</v>
      </c>
      <c r="F439" s="112">
        <v>300.0</v>
      </c>
      <c r="G439" s="111" t="s">
        <v>1971</v>
      </c>
      <c r="H439" s="111" t="s">
        <v>120</v>
      </c>
      <c r="I439" s="111" t="s">
        <v>1972</v>
      </c>
      <c r="J439" s="111" t="s">
        <v>823</v>
      </c>
    </row>
    <row r="440" ht="18.75" hidden="1" customHeight="1">
      <c r="A440" s="111" t="s">
        <v>1590</v>
      </c>
      <c r="B440" s="111" t="s">
        <v>2275</v>
      </c>
      <c r="C440" s="111" t="s">
        <v>2276</v>
      </c>
      <c r="D440" s="111" t="s">
        <v>1593</v>
      </c>
      <c r="E440" s="111" t="s">
        <v>1594</v>
      </c>
      <c r="F440" s="112">
        <v>300.0</v>
      </c>
      <c r="G440" s="111" t="s">
        <v>1973</v>
      </c>
      <c r="H440" s="111" t="s">
        <v>373</v>
      </c>
      <c r="I440" s="111" t="s">
        <v>1974</v>
      </c>
      <c r="J440" s="111" t="s">
        <v>562</v>
      </c>
    </row>
    <row r="441" ht="18.75" hidden="1" customHeight="1">
      <c r="A441" s="111" t="s">
        <v>1590</v>
      </c>
      <c r="B441" s="111" t="s">
        <v>2275</v>
      </c>
      <c r="C441" s="111" t="s">
        <v>2276</v>
      </c>
      <c r="D441" s="111" t="s">
        <v>1593</v>
      </c>
      <c r="E441" s="111" t="s">
        <v>1594</v>
      </c>
      <c r="F441" s="112">
        <v>300.0</v>
      </c>
      <c r="G441" s="111" t="s">
        <v>1975</v>
      </c>
      <c r="H441" s="111" t="s">
        <v>1271</v>
      </c>
      <c r="I441" s="111" t="s">
        <v>1976</v>
      </c>
      <c r="J441" s="111" t="s">
        <v>1270</v>
      </c>
    </row>
    <row r="442" ht="18.75" hidden="1" customHeight="1">
      <c r="A442" s="111" t="s">
        <v>1590</v>
      </c>
      <c r="B442" s="111" t="s">
        <v>2275</v>
      </c>
      <c r="C442" s="111" t="s">
        <v>2276</v>
      </c>
      <c r="D442" s="111" t="s">
        <v>1593</v>
      </c>
      <c r="E442" s="111" t="s">
        <v>1594</v>
      </c>
      <c r="F442" s="112">
        <v>300.0</v>
      </c>
      <c r="G442" s="111" t="s">
        <v>1977</v>
      </c>
      <c r="H442" s="111" t="s">
        <v>287</v>
      </c>
      <c r="I442" s="111" t="s">
        <v>1978</v>
      </c>
      <c r="J442" s="111" t="s">
        <v>1138</v>
      </c>
    </row>
    <row r="443" ht="18.75" hidden="1" customHeight="1">
      <c r="A443" s="111" t="s">
        <v>1590</v>
      </c>
      <c r="B443" s="111" t="s">
        <v>2275</v>
      </c>
      <c r="C443" s="111" t="s">
        <v>2276</v>
      </c>
      <c r="D443" s="111" t="s">
        <v>1593</v>
      </c>
      <c r="E443" s="111" t="s">
        <v>1594</v>
      </c>
      <c r="F443" s="112">
        <v>300.0</v>
      </c>
      <c r="G443" s="111" t="s">
        <v>1979</v>
      </c>
      <c r="H443" s="111" t="s">
        <v>242</v>
      </c>
      <c r="I443" s="111" t="s">
        <v>1980</v>
      </c>
      <c r="J443" s="111" t="s">
        <v>1210</v>
      </c>
    </row>
    <row r="444" ht="18.75" hidden="1" customHeight="1">
      <c r="A444" s="111" t="s">
        <v>1590</v>
      </c>
      <c r="B444" s="111" t="s">
        <v>2275</v>
      </c>
      <c r="C444" s="111" t="s">
        <v>2276</v>
      </c>
      <c r="D444" s="111" t="s">
        <v>1593</v>
      </c>
      <c r="E444" s="111" t="s">
        <v>1594</v>
      </c>
      <c r="F444" s="112">
        <v>300.0</v>
      </c>
      <c r="G444" s="111" t="s">
        <v>1981</v>
      </c>
      <c r="H444" s="111" t="s">
        <v>1196</v>
      </c>
      <c r="I444" s="111" t="s">
        <v>1982</v>
      </c>
      <c r="J444" s="111" t="s">
        <v>1198</v>
      </c>
    </row>
    <row r="445" ht="18.75" hidden="1" customHeight="1">
      <c r="A445" s="111" t="s">
        <v>1590</v>
      </c>
      <c r="B445" s="111" t="s">
        <v>2275</v>
      </c>
      <c r="C445" s="111" t="s">
        <v>2276</v>
      </c>
      <c r="D445" s="111" t="s">
        <v>1593</v>
      </c>
      <c r="E445" s="111" t="s">
        <v>1594</v>
      </c>
      <c r="F445" s="112">
        <v>300.0</v>
      </c>
      <c r="G445" s="111" t="s">
        <v>1983</v>
      </c>
      <c r="H445" s="111" t="s">
        <v>160</v>
      </c>
      <c r="I445" s="111" t="s">
        <v>1984</v>
      </c>
      <c r="J445" s="111" t="s">
        <v>706</v>
      </c>
    </row>
    <row r="446" ht="18.75" hidden="1" customHeight="1">
      <c r="A446" s="111" t="s">
        <v>1590</v>
      </c>
      <c r="B446" s="111" t="s">
        <v>2275</v>
      </c>
      <c r="C446" s="111" t="s">
        <v>2276</v>
      </c>
      <c r="D446" s="111" t="s">
        <v>1593</v>
      </c>
      <c r="E446" s="111" t="s">
        <v>1594</v>
      </c>
      <c r="F446" s="112">
        <v>300.0</v>
      </c>
      <c r="G446" s="111" t="s">
        <v>1985</v>
      </c>
      <c r="H446" s="111" t="s">
        <v>249</v>
      </c>
      <c r="I446" s="111" t="s">
        <v>1986</v>
      </c>
      <c r="J446" s="111" t="s">
        <v>1245</v>
      </c>
    </row>
    <row r="447" ht="18.75" hidden="1" customHeight="1">
      <c r="A447" s="111" t="s">
        <v>1590</v>
      </c>
      <c r="B447" s="111" t="s">
        <v>2275</v>
      </c>
      <c r="C447" s="111" t="s">
        <v>2276</v>
      </c>
      <c r="D447" s="111" t="s">
        <v>1593</v>
      </c>
      <c r="E447" s="111" t="s">
        <v>1594</v>
      </c>
      <c r="F447" s="112">
        <v>300.0</v>
      </c>
      <c r="G447" s="111" t="s">
        <v>1987</v>
      </c>
      <c r="H447" s="111" t="s">
        <v>332</v>
      </c>
      <c r="I447" s="111" t="s">
        <v>1988</v>
      </c>
      <c r="J447" s="111" t="s">
        <v>484</v>
      </c>
    </row>
    <row r="448" ht="18.75" hidden="1" customHeight="1">
      <c r="A448" s="111" t="s">
        <v>1590</v>
      </c>
      <c r="B448" s="111" t="s">
        <v>2275</v>
      </c>
      <c r="C448" s="111" t="s">
        <v>2276</v>
      </c>
      <c r="D448" s="111" t="s">
        <v>1593</v>
      </c>
      <c r="E448" s="111" t="s">
        <v>1594</v>
      </c>
      <c r="F448" s="112">
        <v>300.0</v>
      </c>
      <c r="G448" s="111" t="s">
        <v>1989</v>
      </c>
      <c r="H448" s="111" t="s">
        <v>747</v>
      </c>
      <c r="I448" s="111" t="s">
        <v>1990</v>
      </c>
      <c r="J448" s="111" t="s">
        <v>749</v>
      </c>
    </row>
    <row r="449" ht="18.75" hidden="1" customHeight="1">
      <c r="A449" s="111" t="s">
        <v>1590</v>
      </c>
      <c r="B449" s="111" t="s">
        <v>2275</v>
      </c>
      <c r="C449" s="111" t="s">
        <v>2276</v>
      </c>
      <c r="D449" s="111" t="s">
        <v>1593</v>
      </c>
      <c r="E449" s="111" t="s">
        <v>1594</v>
      </c>
      <c r="F449" s="112">
        <v>300.0</v>
      </c>
      <c r="G449" s="111" t="s">
        <v>1991</v>
      </c>
      <c r="H449" s="111" t="s">
        <v>213</v>
      </c>
      <c r="I449" s="111" t="s">
        <v>1992</v>
      </c>
      <c r="J449" s="111" t="s">
        <v>957</v>
      </c>
    </row>
    <row r="450" ht="18.75" hidden="1" customHeight="1">
      <c r="A450" s="111" t="s">
        <v>1590</v>
      </c>
      <c r="B450" s="111" t="s">
        <v>2275</v>
      </c>
      <c r="C450" s="111" t="s">
        <v>2276</v>
      </c>
      <c r="D450" s="111" t="s">
        <v>1593</v>
      </c>
      <c r="E450" s="111" t="s">
        <v>1594</v>
      </c>
      <c r="F450" s="112">
        <v>300.0</v>
      </c>
      <c r="G450" s="111" t="s">
        <v>1993</v>
      </c>
      <c r="H450" s="111" t="s">
        <v>554</v>
      </c>
      <c r="I450" s="111" t="s">
        <v>1994</v>
      </c>
      <c r="J450" s="111" t="s">
        <v>559</v>
      </c>
    </row>
    <row r="451" ht="18.75" hidden="1" customHeight="1">
      <c r="A451" s="111" t="s">
        <v>1590</v>
      </c>
      <c r="B451" s="111" t="s">
        <v>2275</v>
      </c>
      <c r="C451" s="111" t="s">
        <v>2276</v>
      </c>
      <c r="D451" s="111" t="s">
        <v>1593</v>
      </c>
      <c r="E451" s="111" t="s">
        <v>1594</v>
      </c>
      <c r="F451" s="112">
        <v>300.0</v>
      </c>
      <c r="G451" s="111" t="s">
        <v>1605</v>
      </c>
      <c r="H451" s="111" t="s">
        <v>1606</v>
      </c>
      <c r="I451" s="111" t="s">
        <v>1607</v>
      </c>
      <c r="J451" s="111" t="s">
        <v>1608</v>
      </c>
    </row>
    <row r="452" ht="18.75" hidden="1" customHeight="1">
      <c r="A452" s="111" t="s">
        <v>1590</v>
      </c>
      <c r="B452" s="111" t="s">
        <v>2275</v>
      </c>
      <c r="C452" s="111" t="s">
        <v>2276</v>
      </c>
      <c r="D452" s="111" t="s">
        <v>1593</v>
      </c>
      <c r="E452" s="111" t="s">
        <v>1594</v>
      </c>
      <c r="F452" s="112">
        <v>300.0</v>
      </c>
      <c r="G452" s="111" t="s">
        <v>1995</v>
      </c>
      <c r="H452" s="111" t="s">
        <v>978</v>
      </c>
      <c r="I452" s="111" t="s">
        <v>1996</v>
      </c>
      <c r="J452" s="111" t="s">
        <v>977</v>
      </c>
    </row>
    <row r="453" ht="18.75" hidden="1" customHeight="1">
      <c r="A453" s="111" t="s">
        <v>1590</v>
      </c>
      <c r="B453" s="111" t="s">
        <v>2275</v>
      </c>
      <c r="C453" s="111" t="s">
        <v>2276</v>
      </c>
      <c r="D453" s="111" t="s">
        <v>1593</v>
      </c>
      <c r="E453" s="111" t="s">
        <v>1594</v>
      </c>
      <c r="F453" s="112">
        <v>300.0</v>
      </c>
      <c r="G453" s="111" t="s">
        <v>1997</v>
      </c>
      <c r="H453" s="111" t="s">
        <v>1166</v>
      </c>
      <c r="I453" s="111" t="s">
        <v>1998</v>
      </c>
      <c r="J453" s="111" t="s">
        <v>1165</v>
      </c>
    </row>
    <row r="454" ht="18.75" hidden="1" customHeight="1">
      <c r="A454" s="111" t="s">
        <v>1590</v>
      </c>
      <c r="B454" s="111" t="s">
        <v>2275</v>
      </c>
      <c r="C454" s="111" t="s">
        <v>2276</v>
      </c>
      <c r="D454" s="111" t="s">
        <v>1593</v>
      </c>
      <c r="E454" s="111" t="s">
        <v>1594</v>
      </c>
      <c r="F454" s="112">
        <v>300.0</v>
      </c>
      <c r="G454" s="111" t="s">
        <v>1999</v>
      </c>
      <c r="H454" s="111" t="s">
        <v>961</v>
      </c>
      <c r="I454" s="111" t="s">
        <v>2000</v>
      </c>
      <c r="J454" s="111" t="s">
        <v>960</v>
      </c>
    </row>
    <row r="455" ht="18.75" hidden="1" customHeight="1">
      <c r="A455" s="111" t="s">
        <v>1590</v>
      </c>
      <c r="B455" s="111" t="s">
        <v>2275</v>
      </c>
      <c r="C455" s="111" t="s">
        <v>2276</v>
      </c>
      <c r="D455" s="111" t="s">
        <v>1593</v>
      </c>
      <c r="E455" s="111" t="s">
        <v>1594</v>
      </c>
      <c r="F455" s="112">
        <v>300.0</v>
      </c>
      <c r="G455" s="111" t="s">
        <v>2001</v>
      </c>
      <c r="H455" s="111" t="s">
        <v>642</v>
      </c>
      <c r="I455" s="111" t="s">
        <v>2002</v>
      </c>
      <c r="J455" s="111" t="s">
        <v>645</v>
      </c>
    </row>
    <row r="456" ht="18.75" hidden="1" customHeight="1">
      <c r="A456" s="111" t="s">
        <v>1590</v>
      </c>
      <c r="B456" s="111" t="s">
        <v>2275</v>
      </c>
      <c r="C456" s="111" t="s">
        <v>2276</v>
      </c>
      <c r="D456" s="111" t="s">
        <v>1593</v>
      </c>
      <c r="E456" s="111" t="s">
        <v>1594</v>
      </c>
      <c r="F456" s="112">
        <v>300.0</v>
      </c>
      <c r="G456" s="111" t="s">
        <v>2003</v>
      </c>
      <c r="H456" s="111" t="s">
        <v>155</v>
      </c>
      <c r="I456" s="111" t="s">
        <v>2004</v>
      </c>
      <c r="J456" s="111" t="s">
        <v>525</v>
      </c>
    </row>
    <row r="457" ht="18.75" hidden="1" customHeight="1">
      <c r="A457" s="111" t="s">
        <v>1590</v>
      </c>
      <c r="B457" s="111" t="s">
        <v>2275</v>
      </c>
      <c r="C457" s="111" t="s">
        <v>2276</v>
      </c>
      <c r="D457" s="111" t="s">
        <v>1593</v>
      </c>
      <c r="E457" s="111" t="s">
        <v>1594</v>
      </c>
      <c r="F457" s="112">
        <v>300.0</v>
      </c>
      <c r="G457" s="111" t="s">
        <v>2005</v>
      </c>
      <c r="H457" s="111" t="s">
        <v>311</v>
      </c>
      <c r="I457" s="111" t="s">
        <v>2006</v>
      </c>
      <c r="J457" s="111" t="s">
        <v>1186</v>
      </c>
    </row>
    <row r="458" ht="18.75" hidden="1" customHeight="1">
      <c r="A458" s="111" t="s">
        <v>1590</v>
      </c>
      <c r="B458" s="111" t="s">
        <v>2275</v>
      </c>
      <c r="C458" s="111" t="s">
        <v>2276</v>
      </c>
      <c r="D458" s="111" t="s">
        <v>1593</v>
      </c>
      <c r="E458" s="111" t="s">
        <v>1594</v>
      </c>
      <c r="F458" s="112">
        <v>300.0</v>
      </c>
      <c r="G458" s="111" t="s">
        <v>2007</v>
      </c>
      <c r="H458" s="111" t="s">
        <v>441</v>
      </c>
      <c r="I458" s="111" t="s">
        <v>2008</v>
      </c>
      <c r="J458" s="111" t="s">
        <v>440</v>
      </c>
    </row>
    <row r="459" ht="18.75" hidden="1" customHeight="1">
      <c r="A459" s="111" t="s">
        <v>1590</v>
      </c>
      <c r="B459" s="111" t="s">
        <v>2275</v>
      </c>
      <c r="C459" s="111" t="s">
        <v>2276</v>
      </c>
      <c r="D459" s="111" t="s">
        <v>1593</v>
      </c>
      <c r="E459" s="111" t="s">
        <v>1594</v>
      </c>
      <c r="F459" s="112">
        <v>300.0</v>
      </c>
      <c r="G459" s="111" t="s">
        <v>2009</v>
      </c>
      <c r="H459" s="111" t="s">
        <v>611</v>
      </c>
      <c r="I459" s="111" t="s">
        <v>2010</v>
      </c>
      <c r="J459" s="111" t="s">
        <v>610</v>
      </c>
    </row>
    <row r="460" ht="18.75" hidden="1" customHeight="1">
      <c r="A460" s="111" t="s">
        <v>1590</v>
      </c>
      <c r="B460" s="111" t="s">
        <v>2275</v>
      </c>
      <c r="C460" s="111" t="s">
        <v>2276</v>
      </c>
      <c r="D460" s="111" t="s">
        <v>1593</v>
      </c>
      <c r="E460" s="111" t="s">
        <v>1594</v>
      </c>
      <c r="F460" s="112">
        <v>300.0</v>
      </c>
      <c r="G460" s="111" t="s">
        <v>2011</v>
      </c>
      <c r="H460" s="111" t="s">
        <v>243</v>
      </c>
      <c r="I460" s="111" t="s">
        <v>2012</v>
      </c>
      <c r="J460" s="111" t="s">
        <v>1213</v>
      </c>
    </row>
    <row r="461" ht="18.75" hidden="1" customHeight="1">
      <c r="A461" s="111" t="s">
        <v>1590</v>
      </c>
      <c r="B461" s="111" t="s">
        <v>2275</v>
      </c>
      <c r="C461" s="111" t="s">
        <v>2276</v>
      </c>
      <c r="D461" s="111" t="s">
        <v>1593</v>
      </c>
      <c r="E461" s="111" t="s">
        <v>1594</v>
      </c>
      <c r="F461" s="112">
        <v>300.0</v>
      </c>
      <c r="G461" s="111" t="s">
        <v>2013</v>
      </c>
      <c r="H461" s="111" t="s">
        <v>139</v>
      </c>
      <c r="I461" s="111" t="s">
        <v>2014</v>
      </c>
      <c r="J461" s="111" t="s">
        <v>761</v>
      </c>
    </row>
    <row r="462" ht="18.75" hidden="1" customHeight="1">
      <c r="A462" s="111" t="s">
        <v>1590</v>
      </c>
      <c r="B462" s="111" t="s">
        <v>2275</v>
      </c>
      <c r="C462" s="111" t="s">
        <v>2276</v>
      </c>
      <c r="D462" s="111" t="s">
        <v>1593</v>
      </c>
      <c r="E462" s="111" t="s">
        <v>1594</v>
      </c>
      <c r="F462" s="112">
        <v>300.0</v>
      </c>
      <c r="G462" s="111" t="s">
        <v>2015</v>
      </c>
      <c r="H462" s="111" t="s">
        <v>461</v>
      </c>
      <c r="I462" s="111" t="s">
        <v>2016</v>
      </c>
      <c r="J462" s="111" t="s">
        <v>460</v>
      </c>
    </row>
    <row r="463" ht="18.75" hidden="1" customHeight="1">
      <c r="A463" s="111" t="s">
        <v>1590</v>
      </c>
      <c r="B463" s="111" t="s">
        <v>2275</v>
      </c>
      <c r="C463" s="111" t="s">
        <v>2276</v>
      </c>
      <c r="D463" s="111" t="s">
        <v>1593</v>
      </c>
      <c r="E463" s="111" t="s">
        <v>1594</v>
      </c>
      <c r="F463" s="112">
        <v>300.0</v>
      </c>
      <c r="G463" s="111" t="s">
        <v>2017</v>
      </c>
      <c r="H463" s="111" t="s">
        <v>854</v>
      </c>
      <c r="I463" s="111" t="s">
        <v>2018</v>
      </c>
      <c r="J463" s="111" t="s">
        <v>853</v>
      </c>
    </row>
    <row r="464" ht="18.75" hidden="1" customHeight="1">
      <c r="A464" s="111" t="s">
        <v>1590</v>
      </c>
      <c r="B464" s="111" t="s">
        <v>2275</v>
      </c>
      <c r="C464" s="111" t="s">
        <v>2276</v>
      </c>
      <c r="D464" s="111" t="s">
        <v>1593</v>
      </c>
      <c r="E464" s="111" t="s">
        <v>1594</v>
      </c>
      <c r="F464" s="112">
        <v>300.0</v>
      </c>
      <c r="G464" s="111" t="s">
        <v>2019</v>
      </c>
      <c r="H464" s="111" t="s">
        <v>144</v>
      </c>
      <c r="I464" s="111" t="s">
        <v>2020</v>
      </c>
      <c r="J464" s="111" t="s">
        <v>1068</v>
      </c>
    </row>
    <row r="465" ht="18.75" hidden="1" customHeight="1">
      <c r="A465" s="111" t="s">
        <v>1590</v>
      </c>
      <c r="B465" s="111" t="s">
        <v>2275</v>
      </c>
      <c r="C465" s="111" t="s">
        <v>2276</v>
      </c>
      <c r="D465" s="111" t="s">
        <v>1593</v>
      </c>
      <c r="E465" s="111" t="s">
        <v>1594</v>
      </c>
      <c r="F465" s="112">
        <v>300.0</v>
      </c>
      <c r="G465" s="111" t="s">
        <v>2021</v>
      </c>
      <c r="H465" s="111" t="s">
        <v>202</v>
      </c>
      <c r="I465" s="111" t="s">
        <v>2022</v>
      </c>
      <c r="J465" s="111" t="s">
        <v>1249</v>
      </c>
    </row>
    <row r="466" ht="18.75" hidden="1" customHeight="1">
      <c r="A466" s="111" t="s">
        <v>1590</v>
      </c>
      <c r="B466" s="111" t="s">
        <v>2275</v>
      </c>
      <c r="C466" s="111" t="s">
        <v>2276</v>
      </c>
      <c r="D466" s="111" t="s">
        <v>1593</v>
      </c>
      <c r="E466" s="111" t="s">
        <v>1594</v>
      </c>
      <c r="F466" s="112">
        <v>300.0</v>
      </c>
      <c r="G466" s="111" t="s">
        <v>2023</v>
      </c>
      <c r="H466" s="111" t="s">
        <v>585</v>
      </c>
      <c r="I466" s="111" t="s">
        <v>2024</v>
      </c>
      <c r="J466" s="111" t="s">
        <v>584</v>
      </c>
    </row>
    <row r="467" ht="18.75" hidden="1" customHeight="1">
      <c r="A467" s="111" t="s">
        <v>1590</v>
      </c>
      <c r="B467" s="111" t="s">
        <v>2275</v>
      </c>
      <c r="C467" s="111" t="s">
        <v>2276</v>
      </c>
      <c r="D467" s="111" t="s">
        <v>1593</v>
      </c>
      <c r="E467" s="111" t="s">
        <v>1594</v>
      </c>
      <c r="F467" s="112">
        <v>300.0</v>
      </c>
      <c r="G467" s="111" t="s">
        <v>2025</v>
      </c>
      <c r="H467" s="111" t="s">
        <v>229</v>
      </c>
      <c r="I467" s="111" t="s">
        <v>2026</v>
      </c>
      <c r="J467" s="111" t="s">
        <v>1147</v>
      </c>
    </row>
    <row r="468" ht="18.75" hidden="1" customHeight="1">
      <c r="A468" s="111" t="s">
        <v>1590</v>
      </c>
      <c r="B468" s="111" t="s">
        <v>2275</v>
      </c>
      <c r="C468" s="111" t="s">
        <v>2276</v>
      </c>
      <c r="D468" s="111" t="s">
        <v>1593</v>
      </c>
      <c r="E468" s="111" t="s">
        <v>1594</v>
      </c>
      <c r="F468" s="112">
        <v>300.0</v>
      </c>
      <c r="G468" s="111" t="s">
        <v>2027</v>
      </c>
      <c r="H468" s="111" t="s">
        <v>187</v>
      </c>
      <c r="I468" s="111" t="s">
        <v>2028</v>
      </c>
      <c r="J468" s="111" t="s">
        <v>967</v>
      </c>
    </row>
    <row r="469" ht="18.75" hidden="1" customHeight="1">
      <c r="A469" s="111" t="s">
        <v>1590</v>
      </c>
      <c r="B469" s="111" t="s">
        <v>2275</v>
      </c>
      <c r="C469" s="111" t="s">
        <v>2276</v>
      </c>
      <c r="D469" s="111" t="s">
        <v>1593</v>
      </c>
      <c r="E469" s="111" t="s">
        <v>1594</v>
      </c>
      <c r="F469" s="112">
        <v>300.0</v>
      </c>
      <c r="G469" s="111" t="s">
        <v>2029</v>
      </c>
      <c r="H469" s="111" t="s">
        <v>467</v>
      </c>
      <c r="I469" s="111" t="s">
        <v>2030</v>
      </c>
      <c r="J469" s="111" t="s">
        <v>466</v>
      </c>
    </row>
    <row r="470" ht="18.75" hidden="1" customHeight="1">
      <c r="A470" s="111" t="s">
        <v>1590</v>
      </c>
      <c r="B470" s="111" t="s">
        <v>2275</v>
      </c>
      <c r="C470" s="111" t="s">
        <v>2276</v>
      </c>
      <c r="D470" s="111" t="s">
        <v>1593</v>
      </c>
      <c r="E470" s="111" t="s">
        <v>1594</v>
      </c>
      <c r="F470" s="112">
        <v>300.0</v>
      </c>
      <c r="G470" s="111" t="s">
        <v>2032</v>
      </c>
      <c r="H470" s="111" t="s">
        <v>333</v>
      </c>
      <c r="I470" s="111" t="s">
        <v>2034</v>
      </c>
      <c r="J470" s="111" t="s">
        <v>530</v>
      </c>
    </row>
    <row r="471" ht="18.75" hidden="1" customHeight="1">
      <c r="A471" s="111" t="s">
        <v>1590</v>
      </c>
      <c r="B471" s="111" t="s">
        <v>2275</v>
      </c>
      <c r="C471" s="111" t="s">
        <v>2276</v>
      </c>
      <c r="D471" s="111" t="s">
        <v>1593</v>
      </c>
      <c r="E471" s="111" t="s">
        <v>1594</v>
      </c>
      <c r="F471" s="112">
        <v>300.0</v>
      </c>
      <c r="G471" s="111" t="s">
        <v>2035</v>
      </c>
      <c r="H471" s="111" t="s">
        <v>556</v>
      </c>
      <c r="I471" s="111" t="s">
        <v>2036</v>
      </c>
      <c r="J471" s="111" t="s">
        <v>555</v>
      </c>
    </row>
    <row r="472" ht="18.75" hidden="1" customHeight="1">
      <c r="A472" s="111" t="s">
        <v>1590</v>
      </c>
      <c r="B472" s="111" t="s">
        <v>2275</v>
      </c>
      <c r="C472" s="111" t="s">
        <v>2276</v>
      </c>
      <c r="D472" s="111" t="s">
        <v>1593</v>
      </c>
      <c r="E472" s="111" t="s">
        <v>1594</v>
      </c>
      <c r="F472" s="112">
        <v>300.0</v>
      </c>
      <c r="G472" s="111" t="s">
        <v>2037</v>
      </c>
      <c r="H472" s="111" t="s">
        <v>594</v>
      </c>
      <c r="I472" s="111" t="s">
        <v>2038</v>
      </c>
      <c r="J472" s="111" t="s">
        <v>593</v>
      </c>
    </row>
    <row r="473" ht="18.75" hidden="1" customHeight="1">
      <c r="A473" s="111" t="s">
        <v>1590</v>
      </c>
      <c r="B473" s="111" t="s">
        <v>2275</v>
      </c>
      <c r="C473" s="111" t="s">
        <v>2276</v>
      </c>
      <c r="D473" s="111" t="s">
        <v>1593</v>
      </c>
      <c r="E473" s="111" t="s">
        <v>1594</v>
      </c>
      <c r="F473" s="112">
        <v>300.0</v>
      </c>
      <c r="G473" s="111" t="s">
        <v>2039</v>
      </c>
      <c r="H473" s="111" t="s">
        <v>357</v>
      </c>
      <c r="I473" s="111" t="s">
        <v>2040</v>
      </c>
      <c r="J473" s="111" t="s">
        <v>1461</v>
      </c>
    </row>
    <row r="474" ht="18.75" hidden="1" customHeight="1">
      <c r="A474" s="111" t="s">
        <v>1590</v>
      </c>
      <c r="B474" s="111" t="s">
        <v>2275</v>
      </c>
      <c r="C474" s="111" t="s">
        <v>2276</v>
      </c>
      <c r="D474" s="111" t="s">
        <v>1593</v>
      </c>
      <c r="E474" s="111" t="s">
        <v>1594</v>
      </c>
      <c r="F474" s="112">
        <v>300.0</v>
      </c>
      <c r="G474" s="111" t="s">
        <v>2041</v>
      </c>
      <c r="H474" s="111" t="s">
        <v>1332</v>
      </c>
      <c r="I474" s="111" t="s">
        <v>2042</v>
      </c>
      <c r="J474" s="111" t="s">
        <v>1331</v>
      </c>
    </row>
    <row r="475" ht="18.75" hidden="1" customHeight="1">
      <c r="A475" s="111" t="s">
        <v>1590</v>
      </c>
      <c r="B475" s="111" t="s">
        <v>2275</v>
      </c>
      <c r="C475" s="111" t="s">
        <v>2276</v>
      </c>
      <c r="D475" s="111" t="s">
        <v>1593</v>
      </c>
      <c r="E475" s="111" t="s">
        <v>1594</v>
      </c>
      <c r="F475" s="112">
        <v>300.0</v>
      </c>
      <c r="G475" s="111" t="s">
        <v>2043</v>
      </c>
      <c r="H475" s="111" t="s">
        <v>1414</v>
      </c>
      <c r="I475" s="111" t="s">
        <v>2044</v>
      </c>
      <c r="J475" s="111" t="s">
        <v>1413</v>
      </c>
    </row>
    <row r="476" ht="18.75" hidden="1" customHeight="1">
      <c r="A476" s="111" t="s">
        <v>1590</v>
      </c>
      <c r="B476" s="111" t="s">
        <v>2275</v>
      </c>
      <c r="C476" s="111" t="s">
        <v>2276</v>
      </c>
      <c r="D476" s="111" t="s">
        <v>1593</v>
      </c>
      <c r="E476" s="111" t="s">
        <v>1594</v>
      </c>
      <c r="F476" s="112">
        <v>300.0</v>
      </c>
      <c r="G476" s="111" t="s">
        <v>2045</v>
      </c>
      <c r="H476" s="111" t="s">
        <v>296</v>
      </c>
      <c r="I476" s="111" t="s">
        <v>2046</v>
      </c>
      <c r="J476" s="111" t="s">
        <v>1426</v>
      </c>
    </row>
    <row r="477" ht="18.75" hidden="1" customHeight="1">
      <c r="A477" s="111" t="s">
        <v>1590</v>
      </c>
      <c r="B477" s="111" t="s">
        <v>2275</v>
      </c>
      <c r="C477" s="111" t="s">
        <v>2276</v>
      </c>
      <c r="D477" s="111" t="s">
        <v>1593</v>
      </c>
      <c r="E477" s="111" t="s">
        <v>1594</v>
      </c>
      <c r="F477" s="112">
        <v>300.0</v>
      </c>
      <c r="G477" s="111" t="s">
        <v>2047</v>
      </c>
      <c r="H477" s="111" t="s">
        <v>183</v>
      </c>
      <c r="I477" s="111" t="s">
        <v>2048</v>
      </c>
      <c r="J477" s="111" t="s">
        <v>488</v>
      </c>
    </row>
    <row r="478" ht="18.75" hidden="1" customHeight="1">
      <c r="A478" s="111" t="s">
        <v>1590</v>
      </c>
      <c r="B478" s="111" t="s">
        <v>2275</v>
      </c>
      <c r="C478" s="111" t="s">
        <v>2276</v>
      </c>
      <c r="D478" s="111" t="s">
        <v>1593</v>
      </c>
      <c r="E478" s="111" t="s">
        <v>1594</v>
      </c>
      <c r="F478" s="112">
        <v>300.0</v>
      </c>
      <c r="G478" s="111" t="s">
        <v>2049</v>
      </c>
      <c r="H478" s="111" t="s">
        <v>546</v>
      </c>
      <c r="I478" s="111" t="s">
        <v>2050</v>
      </c>
      <c r="J478" s="111" t="s">
        <v>548</v>
      </c>
    </row>
    <row r="479" ht="18.75" hidden="1" customHeight="1">
      <c r="A479" s="111" t="s">
        <v>1590</v>
      </c>
      <c r="B479" s="111" t="s">
        <v>2275</v>
      </c>
      <c r="C479" s="111" t="s">
        <v>2276</v>
      </c>
      <c r="D479" s="111" t="s">
        <v>1593</v>
      </c>
      <c r="E479" s="111" t="s">
        <v>1594</v>
      </c>
      <c r="F479" s="112">
        <v>300.0</v>
      </c>
      <c r="G479" s="111" t="s">
        <v>2051</v>
      </c>
      <c r="H479" s="111" t="s">
        <v>1422</v>
      </c>
      <c r="I479" s="111" t="s">
        <v>2052</v>
      </c>
      <c r="J479" s="111" t="s">
        <v>1421</v>
      </c>
    </row>
    <row r="480" ht="18.75" hidden="1" customHeight="1">
      <c r="A480" s="111" t="s">
        <v>1590</v>
      </c>
      <c r="B480" s="111" t="s">
        <v>2275</v>
      </c>
      <c r="C480" s="111" t="s">
        <v>2276</v>
      </c>
      <c r="D480" s="111" t="s">
        <v>1593</v>
      </c>
      <c r="E480" s="111" t="s">
        <v>1594</v>
      </c>
      <c r="F480" s="112">
        <v>300.0</v>
      </c>
      <c r="G480" s="111" t="s">
        <v>2053</v>
      </c>
      <c r="H480" s="111" t="s">
        <v>359</v>
      </c>
      <c r="I480" s="111" t="s">
        <v>2054</v>
      </c>
      <c r="J480" s="111" t="s">
        <v>732</v>
      </c>
    </row>
    <row r="481" ht="18.75" hidden="1" customHeight="1">
      <c r="A481" s="111" t="s">
        <v>1590</v>
      </c>
      <c r="B481" s="111" t="s">
        <v>2275</v>
      </c>
      <c r="C481" s="111" t="s">
        <v>2276</v>
      </c>
      <c r="D481" s="111" t="s">
        <v>1593</v>
      </c>
      <c r="E481" s="111" t="s">
        <v>1594</v>
      </c>
      <c r="F481" s="112">
        <v>300.0</v>
      </c>
      <c r="G481" s="111" t="s">
        <v>2055</v>
      </c>
      <c r="H481" s="111" t="s">
        <v>521</v>
      </c>
      <c r="I481" s="111" t="s">
        <v>2056</v>
      </c>
      <c r="J481" s="111" t="s">
        <v>523</v>
      </c>
    </row>
    <row r="482" ht="18.75" hidden="1" customHeight="1">
      <c r="A482" s="111" t="s">
        <v>1590</v>
      </c>
      <c r="B482" s="111" t="s">
        <v>2275</v>
      </c>
      <c r="C482" s="111" t="s">
        <v>2276</v>
      </c>
      <c r="D482" s="111" t="s">
        <v>1593</v>
      </c>
      <c r="E482" s="111" t="s">
        <v>1594</v>
      </c>
      <c r="F482" s="112">
        <v>300.0</v>
      </c>
      <c r="G482" s="111" t="s">
        <v>2057</v>
      </c>
      <c r="H482" s="111" t="s">
        <v>535</v>
      </c>
      <c r="I482" s="111" t="s">
        <v>2058</v>
      </c>
      <c r="J482" s="111" t="s">
        <v>534</v>
      </c>
    </row>
    <row r="483" ht="18.75" hidden="1" customHeight="1">
      <c r="A483" s="111" t="s">
        <v>1590</v>
      </c>
      <c r="B483" s="111" t="s">
        <v>2275</v>
      </c>
      <c r="C483" s="111" t="s">
        <v>2276</v>
      </c>
      <c r="D483" s="111" t="s">
        <v>1593</v>
      </c>
      <c r="E483" s="111" t="s">
        <v>1594</v>
      </c>
      <c r="F483" s="112">
        <v>300.0</v>
      </c>
      <c r="G483" s="111" t="s">
        <v>2059</v>
      </c>
      <c r="H483" s="111" t="s">
        <v>988</v>
      </c>
      <c r="I483" s="111" t="s">
        <v>2060</v>
      </c>
      <c r="J483" s="111" t="s">
        <v>987</v>
      </c>
    </row>
    <row r="484" ht="18.75" hidden="1" customHeight="1">
      <c r="A484" s="111" t="s">
        <v>1590</v>
      </c>
      <c r="B484" s="111" t="s">
        <v>2275</v>
      </c>
      <c r="C484" s="111" t="s">
        <v>2276</v>
      </c>
      <c r="D484" s="111" t="s">
        <v>1593</v>
      </c>
      <c r="E484" s="111" t="s">
        <v>1594</v>
      </c>
      <c r="F484" s="112">
        <v>300.0</v>
      </c>
      <c r="G484" s="111" t="s">
        <v>2061</v>
      </c>
      <c r="H484" s="111" t="s">
        <v>241</v>
      </c>
      <c r="I484" s="111" t="s">
        <v>2062</v>
      </c>
      <c r="J484" s="111" t="s">
        <v>1204</v>
      </c>
    </row>
    <row r="485" ht="18.75" hidden="1" customHeight="1">
      <c r="A485" s="111" t="s">
        <v>1590</v>
      </c>
      <c r="B485" s="111" t="s">
        <v>2275</v>
      </c>
      <c r="C485" s="111" t="s">
        <v>2276</v>
      </c>
      <c r="D485" s="111" t="s">
        <v>1593</v>
      </c>
      <c r="E485" s="111" t="s">
        <v>1594</v>
      </c>
      <c r="F485" s="112">
        <v>300.0</v>
      </c>
      <c r="G485" s="111" t="s">
        <v>2063</v>
      </c>
      <c r="H485" s="111" t="s">
        <v>1380</v>
      </c>
      <c r="I485" s="111" t="s">
        <v>2064</v>
      </c>
      <c r="J485" s="111" t="s">
        <v>1382</v>
      </c>
    </row>
    <row r="486" ht="18.75" hidden="1" customHeight="1">
      <c r="A486" s="111" t="s">
        <v>1590</v>
      </c>
      <c r="B486" s="111" t="s">
        <v>2275</v>
      </c>
      <c r="C486" s="111" t="s">
        <v>2276</v>
      </c>
      <c r="D486" s="111" t="s">
        <v>1593</v>
      </c>
      <c r="E486" s="111" t="s">
        <v>1594</v>
      </c>
      <c r="F486" s="112">
        <v>300.0</v>
      </c>
      <c r="G486" s="111" t="s">
        <v>2065</v>
      </c>
      <c r="H486" s="111" t="s">
        <v>123</v>
      </c>
      <c r="I486" s="111" t="s">
        <v>2066</v>
      </c>
      <c r="J486" s="111" t="s">
        <v>449</v>
      </c>
    </row>
    <row r="487" ht="18.75" hidden="1" customHeight="1">
      <c r="A487" s="111" t="s">
        <v>1590</v>
      </c>
      <c r="B487" s="111" t="s">
        <v>2275</v>
      </c>
      <c r="C487" s="111" t="s">
        <v>2276</v>
      </c>
      <c r="D487" s="111" t="s">
        <v>1593</v>
      </c>
      <c r="E487" s="111" t="s">
        <v>1594</v>
      </c>
      <c r="F487" s="112">
        <v>300.0</v>
      </c>
      <c r="G487" s="111" t="s">
        <v>2067</v>
      </c>
      <c r="H487" s="111" t="s">
        <v>265</v>
      </c>
      <c r="I487" s="111" t="s">
        <v>2068</v>
      </c>
      <c r="J487" s="111" t="s">
        <v>738</v>
      </c>
    </row>
    <row r="488" ht="18.75" hidden="1" customHeight="1">
      <c r="A488" s="111" t="s">
        <v>1590</v>
      </c>
      <c r="B488" s="111" t="s">
        <v>2275</v>
      </c>
      <c r="C488" s="111" t="s">
        <v>2276</v>
      </c>
      <c r="D488" s="111" t="s">
        <v>1593</v>
      </c>
      <c r="E488" s="111" t="s">
        <v>1594</v>
      </c>
      <c r="F488" s="112">
        <v>300.0</v>
      </c>
      <c r="G488" s="111" t="s">
        <v>2069</v>
      </c>
      <c r="H488" s="111" t="s">
        <v>247</v>
      </c>
      <c r="I488" s="111" t="s">
        <v>2070</v>
      </c>
      <c r="J488" s="111" t="s">
        <v>398</v>
      </c>
    </row>
    <row r="489" ht="18.75" hidden="1" customHeight="1">
      <c r="A489" s="111" t="s">
        <v>1590</v>
      </c>
      <c r="B489" s="111" t="s">
        <v>2275</v>
      </c>
      <c r="C489" s="111" t="s">
        <v>2276</v>
      </c>
      <c r="D489" s="111" t="s">
        <v>1593</v>
      </c>
      <c r="E489" s="111" t="s">
        <v>1594</v>
      </c>
      <c r="F489" s="112">
        <v>300.0</v>
      </c>
      <c r="G489" s="111" t="s">
        <v>2071</v>
      </c>
      <c r="H489" s="111" t="s">
        <v>154</v>
      </c>
      <c r="I489" s="111" t="s">
        <v>2072</v>
      </c>
      <c r="J489" s="111" t="s">
        <v>1134</v>
      </c>
    </row>
    <row r="490" ht="18.75" hidden="1" customHeight="1">
      <c r="A490" s="111" t="s">
        <v>1590</v>
      </c>
      <c r="B490" s="111" t="s">
        <v>2275</v>
      </c>
      <c r="C490" s="111" t="s">
        <v>2276</v>
      </c>
      <c r="D490" s="111" t="s">
        <v>1593</v>
      </c>
      <c r="E490" s="111" t="s">
        <v>1594</v>
      </c>
      <c r="F490" s="112">
        <v>300.0</v>
      </c>
      <c r="G490" s="111" t="s">
        <v>2073</v>
      </c>
      <c r="H490" s="111" t="s">
        <v>267</v>
      </c>
      <c r="I490" s="111" t="s">
        <v>2074</v>
      </c>
      <c r="J490" s="111" t="s">
        <v>266</v>
      </c>
    </row>
    <row r="491" ht="18.75" hidden="1" customHeight="1">
      <c r="A491" s="111" t="s">
        <v>1590</v>
      </c>
      <c r="B491" s="111" t="s">
        <v>2275</v>
      </c>
      <c r="C491" s="111" t="s">
        <v>2276</v>
      </c>
      <c r="D491" s="111" t="s">
        <v>1593</v>
      </c>
      <c r="E491" s="111" t="s">
        <v>1594</v>
      </c>
      <c r="F491" s="112">
        <v>300.0</v>
      </c>
      <c r="G491" s="111" t="s">
        <v>2075</v>
      </c>
      <c r="H491" s="111" t="s">
        <v>151</v>
      </c>
      <c r="I491" s="111" t="s">
        <v>2076</v>
      </c>
      <c r="J491" s="111" t="s">
        <v>1291</v>
      </c>
    </row>
    <row r="492" ht="18.75" hidden="1" customHeight="1">
      <c r="A492" s="111" t="s">
        <v>1590</v>
      </c>
      <c r="B492" s="111" t="s">
        <v>2275</v>
      </c>
      <c r="C492" s="111" t="s">
        <v>2276</v>
      </c>
      <c r="D492" s="111" t="s">
        <v>1593</v>
      </c>
      <c r="E492" s="111" t="s">
        <v>1594</v>
      </c>
      <c r="F492" s="112">
        <v>300.0</v>
      </c>
      <c r="G492" s="111" t="s">
        <v>2077</v>
      </c>
      <c r="H492" s="111" t="s">
        <v>796</v>
      </c>
      <c r="I492" s="111" t="s">
        <v>2078</v>
      </c>
      <c r="J492" s="111" t="s">
        <v>799</v>
      </c>
    </row>
    <row r="493" ht="18.75" hidden="1" customHeight="1">
      <c r="A493" s="111" t="s">
        <v>1590</v>
      </c>
      <c r="B493" s="111" t="s">
        <v>2275</v>
      </c>
      <c r="C493" s="111" t="s">
        <v>2276</v>
      </c>
      <c r="D493" s="111" t="s">
        <v>1593</v>
      </c>
      <c r="E493" s="111" t="s">
        <v>1594</v>
      </c>
      <c r="F493" s="112">
        <v>300.0</v>
      </c>
      <c r="G493" s="111" t="s">
        <v>1609</v>
      </c>
      <c r="H493" s="111" t="s">
        <v>1610</v>
      </c>
      <c r="I493" s="111" t="s">
        <v>1611</v>
      </c>
      <c r="J493" s="111" t="s">
        <v>1612</v>
      </c>
    </row>
    <row r="494" ht="18.75" hidden="1" customHeight="1">
      <c r="A494" s="111" t="s">
        <v>1590</v>
      </c>
      <c r="B494" s="111" t="s">
        <v>2275</v>
      </c>
      <c r="C494" s="111" t="s">
        <v>2276</v>
      </c>
      <c r="D494" s="111" t="s">
        <v>1593</v>
      </c>
      <c r="E494" s="111" t="s">
        <v>1594</v>
      </c>
      <c r="F494" s="112">
        <v>300.0</v>
      </c>
      <c r="G494" s="111" t="s">
        <v>2081</v>
      </c>
      <c r="H494" s="111" t="s">
        <v>282</v>
      </c>
      <c r="I494" s="111" t="s">
        <v>2082</v>
      </c>
      <c r="J494" s="111" t="s">
        <v>377</v>
      </c>
    </row>
    <row r="495" ht="18.75" hidden="1" customHeight="1">
      <c r="A495" s="111" t="s">
        <v>1590</v>
      </c>
      <c r="B495" s="111" t="s">
        <v>2275</v>
      </c>
      <c r="C495" s="111" t="s">
        <v>2276</v>
      </c>
      <c r="D495" s="111" t="s">
        <v>1593</v>
      </c>
      <c r="E495" s="111" t="s">
        <v>1594</v>
      </c>
      <c r="F495" s="112">
        <v>300.0</v>
      </c>
      <c r="G495" s="111" t="s">
        <v>2083</v>
      </c>
      <c r="H495" s="111" t="s">
        <v>150</v>
      </c>
      <c r="I495" s="111" t="s">
        <v>2084</v>
      </c>
      <c r="J495" s="111" t="s">
        <v>721</v>
      </c>
    </row>
    <row r="496" ht="18.75" hidden="1" customHeight="1">
      <c r="A496" s="111" t="s">
        <v>1590</v>
      </c>
      <c r="B496" s="111" t="s">
        <v>2275</v>
      </c>
      <c r="C496" s="111" t="s">
        <v>2276</v>
      </c>
      <c r="D496" s="111" t="s">
        <v>1593</v>
      </c>
      <c r="E496" s="111" t="s">
        <v>1594</v>
      </c>
      <c r="F496" s="112">
        <v>300.0</v>
      </c>
      <c r="G496" s="111" t="s">
        <v>2085</v>
      </c>
      <c r="H496" s="111" t="s">
        <v>198</v>
      </c>
      <c r="I496" s="111" t="s">
        <v>2086</v>
      </c>
      <c r="J496" s="111" t="s">
        <v>993</v>
      </c>
    </row>
    <row r="497" ht="18.75" hidden="1" customHeight="1">
      <c r="A497" s="111" t="s">
        <v>1590</v>
      </c>
      <c r="B497" s="111" t="s">
        <v>2275</v>
      </c>
      <c r="C497" s="111" t="s">
        <v>2276</v>
      </c>
      <c r="D497" s="111" t="s">
        <v>1593</v>
      </c>
      <c r="E497" s="111" t="s">
        <v>1594</v>
      </c>
      <c r="F497" s="112">
        <v>300.0</v>
      </c>
      <c r="G497" s="111" t="s">
        <v>2087</v>
      </c>
      <c r="H497" s="111" t="s">
        <v>711</v>
      </c>
      <c r="I497" s="111" t="s">
        <v>2088</v>
      </c>
      <c r="J497" s="111" t="s">
        <v>540</v>
      </c>
    </row>
    <row r="498" ht="18.75" hidden="1" customHeight="1">
      <c r="A498" s="111" t="s">
        <v>1590</v>
      </c>
      <c r="B498" s="111" t="s">
        <v>2275</v>
      </c>
      <c r="C498" s="111" t="s">
        <v>2276</v>
      </c>
      <c r="D498" s="111" t="s">
        <v>1593</v>
      </c>
      <c r="E498" s="111" t="s">
        <v>1594</v>
      </c>
      <c r="F498" s="112">
        <v>300.0</v>
      </c>
      <c r="G498" s="111" t="s">
        <v>1614</v>
      </c>
      <c r="H498" s="111" t="s">
        <v>1615</v>
      </c>
      <c r="I498" s="111" t="s">
        <v>1616</v>
      </c>
      <c r="J498" s="111" t="s">
        <v>1617</v>
      </c>
    </row>
    <row r="499" ht="18.75" hidden="1" customHeight="1">
      <c r="A499" s="111" t="s">
        <v>1590</v>
      </c>
      <c r="B499" s="111" t="s">
        <v>2275</v>
      </c>
      <c r="C499" s="111" t="s">
        <v>2276</v>
      </c>
      <c r="D499" s="111" t="s">
        <v>1593</v>
      </c>
      <c r="E499" s="111" t="s">
        <v>1594</v>
      </c>
      <c r="F499" s="112">
        <v>300.0</v>
      </c>
      <c r="G499" s="111" t="s">
        <v>2089</v>
      </c>
      <c r="H499" s="111" t="s">
        <v>923</v>
      </c>
      <c r="I499" s="111" t="s">
        <v>2090</v>
      </c>
      <c r="J499" s="111" t="s">
        <v>922</v>
      </c>
    </row>
    <row r="500" ht="18.75" hidden="1" customHeight="1">
      <c r="A500" s="111" t="s">
        <v>1590</v>
      </c>
      <c r="B500" s="111" t="s">
        <v>2275</v>
      </c>
      <c r="C500" s="111" t="s">
        <v>2276</v>
      </c>
      <c r="D500" s="111" t="s">
        <v>1593</v>
      </c>
      <c r="E500" s="111" t="s">
        <v>1594</v>
      </c>
      <c r="F500" s="112">
        <v>300.0</v>
      </c>
      <c r="G500" s="111" t="s">
        <v>2091</v>
      </c>
      <c r="H500" s="111" t="s">
        <v>1508</v>
      </c>
      <c r="I500" s="111" t="s">
        <v>2092</v>
      </c>
      <c r="J500" s="111" t="s">
        <v>1510</v>
      </c>
    </row>
    <row r="501" ht="18.75" hidden="1" customHeight="1">
      <c r="A501" s="111" t="s">
        <v>1590</v>
      </c>
      <c r="B501" s="111" t="s">
        <v>2275</v>
      </c>
      <c r="C501" s="111" t="s">
        <v>2276</v>
      </c>
      <c r="D501" s="111" t="s">
        <v>1593</v>
      </c>
      <c r="E501" s="111" t="s">
        <v>1594</v>
      </c>
      <c r="F501" s="112">
        <v>300.0</v>
      </c>
      <c r="G501" s="111" t="s">
        <v>2093</v>
      </c>
      <c r="H501" s="111" t="s">
        <v>261</v>
      </c>
      <c r="I501" s="111" t="s">
        <v>2094</v>
      </c>
      <c r="J501" s="111" t="s">
        <v>741</v>
      </c>
    </row>
    <row r="502" ht="18.75" hidden="1" customHeight="1">
      <c r="A502" s="111" t="s">
        <v>1590</v>
      </c>
      <c r="B502" s="111" t="s">
        <v>2275</v>
      </c>
      <c r="C502" s="111" t="s">
        <v>2276</v>
      </c>
      <c r="D502" s="111" t="s">
        <v>1593</v>
      </c>
      <c r="E502" s="111" t="s">
        <v>1594</v>
      </c>
      <c r="F502" s="112">
        <v>300.0</v>
      </c>
      <c r="G502" s="111" t="s">
        <v>2095</v>
      </c>
      <c r="H502" s="111" t="s">
        <v>210</v>
      </c>
      <c r="I502" s="111" t="s">
        <v>2096</v>
      </c>
      <c r="J502" s="111" t="s">
        <v>1033</v>
      </c>
    </row>
    <row r="503" ht="18.75" hidden="1" customHeight="1">
      <c r="A503" s="111" t="s">
        <v>1590</v>
      </c>
      <c r="B503" s="111" t="s">
        <v>2275</v>
      </c>
      <c r="C503" s="111" t="s">
        <v>2276</v>
      </c>
      <c r="D503" s="111" t="s">
        <v>1593</v>
      </c>
      <c r="E503" s="111" t="s">
        <v>1594</v>
      </c>
      <c r="F503" s="112">
        <v>300.0</v>
      </c>
      <c r="G503" s="111" t="s">
        <v>2097</v>
      </c>
      <c r="H503" s="111" t="s">
        <v>119</v>
      </c>
      <c r="I503" s="111" t="s">
        <v>2098</v>
      </c>
      <c r="J503" s="111" t="s">
        <v>697</v>
      </c>
    </row>
    <row r="504" ht="18.75" hidden="1" customHeight="1">
      <c r="A504" s="111" t="s">
        <v>1590</v>
      </c>
      <c r="B504" s="111" t="s">
        <v>2275</v>
      </c>
      <c r="C504" s="111" t="s">
        <v>2276</v>
      </c>
      <c r="D504" s="111" t="s">
        <v>1593</v>
      </c>
      <c r="E504" s="111" t="s">
        <v>1594</v>
      </c>
      <c r="F504" s="112">
        <v>300.0</v>
      </c>
      <c r="G504" s="111" t="s">
        <v>2099</v>
      </c>
      <c r="H504" s="111" t="s">
        <v>881</v>
      </c>
      <c r="I504" s="111" t="s">
        <v>2100</v>
      </c>
      <c r="J504" s="111" t="s">
        <v>880</v>
      </c>
    </row>
    <row r="505" ht="18.75" hidden="1" customHeight="1">
      <c r="A505" s="111" t="s">
        <v>1590</v>
      </c>
      <c r="B505" s="111" t="s">
        <v>2275</v>
      </c>
      <c r="C505" s="111" t="s">
        <v>2276</v>
      </c>
      <c r="D505" s="111" t="s">
        <v>1593</v>
      </c>
      <c r="E505" s="111" t="s">
        <v>1594</v>
      </c>
      <c r="F505" s="112">
        <v>300.0</v>
      </c>
      <c r="G505" s="111" t="s">
        <v>2101</v>
      </c>
      <c r="H505" s="111" t="s">
        <v>434</v>
      </c>
      <c r="I505" s="111" t="s">
        <v>2102</v>
      </c>
      <c r="J505" s="111" t="s">
        <v>433</v>
      </c>
    </row>
    <row r="506" ht="18.75" hidden="1" customHeight="1">
      <c r="A506" s="111" t="s">
        <v>1590</v>
      </c>
      <c r="B506" s="111" t="s">
        <v>2275</v>
      </c>
      <c r="C506" s="111" t="s">
        <v>2276</v>
      </c>
      <c r="D506" s="111" t="s">
        <v>1593</v>
      </c>
      <c r="E506" s="111" t="s">
        <v>1594</v>
      </c>
      <c r="F506" s="112">
        <v>300.0</v>
      </c>
      <c r="G506" s="111" t="s">
        <v>2103</v>
      </c>
      <c r="H506" s="111" t="s">
        <v>259</v>
      </c>
      <c r="I506" s="111" t="s">
        <v>2104</v>
      </c>
      <c r="J506" s="111" t="s">
        <v>1223</v>
      </c>
    </row>
    <row r="507" ht="18.75" hidden="1" customHeight="1">
      <c r="A507" s="111" t="s">
        <v>1590</v>
      </c>
      <c r="B507" s="111" t="s">
        <v>2275</v>
      </c>
      <c r="C507" s="111" t="s">
        <v>2276</v>
      </c>
      <c r="D507" s="111" t="s">
        <v>1593</v>
      </c>
      <c r="E507" s="111" t="s">
        <v>1594</v>
      </c>
      <c r="F507" s="112">
        <v>300.0</v>
      </c>
      <c r="G507" s="111" t="s">
        <v>2105</v>
      </c>
      <c r="H507" s="111" t="s">
        <v>253</v>
      </c>
      <c r="I507" s="111" t="s">
        <v>2106</v>
      </c>
      <c r="J507" s="111" t="s">
        <v>1308</v>
      </c>
    </row>
    <row r="508" ht="18.75" hidden="1" customHeight="1">
      <c r="A508" s="111" t="s">
        <v>1590</v>
      </c>
      <c r="B508" s="111" t="s">
        <v>2275</v>
      </c>
      <c r="C508" s="111" t="s">
        <v>2276</v>
      </c>
      <c r="D508" s="111" t="s">
        <v>1593</v>
      </c>
      <c r="E508" s="111" t="s">
        <v>1594</v>
      </c>
      <c r="F508" s="112">
        <v>300.0</v>
      </c>
      <c r="G508" s="111" t="s">
        <v>2107</v>
      </c>
      <c r="H508" s="111" t="s">
        <v>318</v>
      </c>
      <c r="I508" s="111" t="s">
        <v>2108</v>
      </c>
      <c r="J508" s="111" t="s">
        <v>520</v>
      </c>
    </row>
    <row r="509" ht="18.75" hidden="1" customHeight="1">
      <c r="A509" s="111" t="s">
        <v>1590</v>
      </c>
      <c r="B509" s="111" t="s">
        <v>2275</v>
      </c>
      <c r="C509" s="111" t="s">
        <v>2276</v>
      </c>
      <c r="D509" s="111" t="s">
        <v>1593</v>
      </c>
      <c r="E509" s="111" t="s">
        <v>1594</v>
      </c>
      <c r="F509" s="112">
        <v>300.0</v>
      </c>
      <c r="G509" s="111" t="s">
        <v>2109</v>
      </c>
      <c r="H509" s="111" t="s">
        <v>264</v>
      </c>
      <c r="I509" s="111" t="s">
        <v>2110</v>
      </c>
      <c r="J509" s="111" t="s">
        <v>1286</v>
      </c>
    </row>
    <row r="510" ht="18.75" hidden="1" customHeight="1">
      <c r="A510" s="111" t="s">
        <v>1590</v>
      </c>
      <c r="B510" s="111" t="s">
        <v>2275</v>
      </c>
      <c r="C510" s="111" t="s">
        <v>2276</v>
      </c>
      <c r="D510" s="111" t="s">
        <v>1593</v>
      </c>
      <c r="E510" s="111" t="s">
        <v>1594</v>
      </c>
      <c r="F510" s="112">
        <v>300.0</v>
      </c>
      <c r="G510" s="111" t="s">
        <v>2111</v>
      </c>
      <c r="H510" s="111" t="s">
        <v>667</v>
      </c>
      <c r="I510" s="111" t="s">
        <v>2112</v>
      </c>
      <c r="J510" s="111" t="s">
        <v>669</v>
      </c>
    </row>
    <row r="511" ht="18.75" hidden="1" customHeight="1">
      <c r="A511" s="111" t="s">
        <v>1590</v>
      </c>
      <c r="B511" s="111" t="s">
        <v>2275</v>
      </c>
      <c r="C511" s="111" t="s">
        <v>2276</v>
      </c>
      <c r="D511" s="111" t="s">
        <v>1593</v>
      </c>
      <c r="E511" s="111" t="s">
        <v>1594</v>
      </c>
      <c r="F511" s="112">
        <v>300.0</v>
      </c>
      <c r="G511" s="111" t="s">
        <v>2113</v>
      </c>
      <c r="H511" s="111" t="s">
        <v>671</v>
      </c>
      <c r="I511" s="111" t="s">
        <v>2114</v>
      </c>
      <c r="J511" s="111" t="s">
        <v>673</v>
      </c>
    </row>
    <row r="512" ht="18.75" hidden="1" customHeight="1">
      <c r="A512" s="111" t="s">
        <v>1590</v>
      </c>
      <c r="B512" s="111" t="s">
        <v>2275</v>
      </c>
      <c r="C512" s="111" t="s">
        <v>2276</v>
      </c>
      <c r="D512" s="111" t="s">
        <v>1593</v>
      </c>
      <c r="E512" s="111" t="s">
        <v>1594</v>
      </c>
      <c r="F512" s="112">
        <v>300.0</v>
      </c>
      <c r="G512" s="111" t="s">
        <v>2115</v>
      </c>
      <c r="H512" s="111" t="s">
        <v>821</v>
      </c>
      <c r="I512" s="111" t="s">
        <v>2116</v>
      </c>
      <c r="J512" s="111" t="s">
        <v>829</v>
      </c>
    </row>
    <row r="513" ht="18.75" hidden="1" customHeight="1">
      <c r="A513" s="111" t="s">
        <v>1590</v>
      </c>
      <c r="B513" s="111" t="s">
        <v>2275</v>
      </c>
      <c r="C513" s="111" t="s">
        <v>2276</v>
      </c>
      <c r="D513" s="111" t="s">
        <v>1593</v>
      </c>
      <c r="E513" s="111" t="s">
        <v>1594</v>
      </c>
      <c r="F513" s="112">
        <v>300.0</v>
      </c>
      <c r="G513" s="111" t="s">
        <v>2117</v>
      </c>
      <c r="H513" s="111" t="s">
        <v>1495</v>
      </c>
      <c r="I513" s="111" t="s">
        <v>2118</v>
      </c>
      <c r="J513" s="111" t="s">
        <v>1497</v>
      </c>
    </row>
    <row r="514" ht="18.75" hidden="1" customHeight="1">
      <c r="A514" s="111" t="s">
        <v>1590</v>
      </c>
      <c r="B514" s="111" t="s">
        <v>2275</v>
      </c>
      <c r="C514" s="111" t="s">
        <v>2276</v>
      </c>
      <c r="D514" s="111" t="s">
        <v>1593</v>
      </c>
      <c r="E514" s="111" t="s">
        <v>1594</v>
      </c>
      <c r="F514" s="112">
        <v>300.0</v>
      </c>
      <c r="G514" s="111" t="s">
        <v>2119</v>
      </c>
      <c r="H514" s="111" t="s">
        <v>496</v>
      </c>
      <c r="I514" s="111" t="s">
        <v>2120</v>
      </c>
      <c r="J514" s="111" t="s">
        <v>498</v>
      </c>
    </row>
    <row r="515" ht="18.75" hidden="1" customHeight="1">
      <c r="A515" s="111" t="s">
        <v>1590</v>
      </c>
      <c r="B515" s="111" t="s">
        <v>2275</v>
      </c>
      <c r="C515" s="111" t="s">
        <v>2276</v>
      </c>
      <c r="D515" s="111" t="s">
        <v>1593</v>
      </c>
      <c r="E515" s="111" t="s">
        <v>1594</v>
      </c>
      <c r="F515" s="112">
        <v>300.0</v>
      </c>
      <c r="G515" s="111" t="s">
        <v>2121</v>
      </c>
      <c r="H515" s="111" t="s">
        <v>274</v>
      </c>
      <c r="I515" s="111" t="s">
        <v>2122</v>
      </c>
      <c r="J515" s="111" t="s">
        <v>1224</v>
      </c>
    </row>
    <row r="516" ht="18.75" hidden="1" customHeight="1">
      <c r="A516" s="111" t="s">
        <v>1590</v>
      </c>
      <c r="B516" s="111" t="s">
        <v>2275</v>
      </c>
      <c r="C516" s="111" t="s">
        <v>2276</v>
      </c>
      <c r="D516" s="111" t="s">
        <v>1593</v>
      </c>
      <c r="E516" s="111" t="s">
        <v>1594</v>
      </c>
      <c r="F516" s="112">
        <v>300.0</v>
      </c>
      <c r="G516" s="111" t="s">
        <v>2123</v>
      </c>
      <c r="H516" s="111" t="s">
        <v>1276</v>
      </c>
      <c r="I516" s="111" t="s">
        <v>2124</v>
      </c>
      <c r="J516" s="111" t="s">
        <v>1280</v>
      </c>
    </row>
    <row r="517" ht="18.75" hidden="1" customHeight="1">
      <c r="A517" s="111" t="s">
        <v>1590</v>
      </c>
      <c r="B517" s="111" t="s">
        <v>2275</v>
      </c>
      <c r="C517" s="111" t="s">
        <v>2276</v>
      </c>
      <c r="D517" s="111" t="s">
        <v>1593</v>
      </c>
      <c r="E517" s="111" t="s">
        <v>1594</v>
      </c>
      <c r="F517" s="112">
        <v>300.0</v>
      </c>
      <c r="G517" s="111" t="s">
        <v>1618</v>
      </c>
      <c r="H517" s="111" t="s">
        <v>1619</v>
      </c>
      <c r="I517" s="111" t="s">
        <v>1620</v>
      </c>
      <c r="J517" s="111" t="s">
        <v>1621</v>
      </c>
    </row>
    <row r="518" ht="18.75" hidden="1" customHeight="1">
      <c r="A518" s="111" t="s">
        <v>1590</v>
      </c>
      <c r="B518" s="111" t="s">
        <v>2275</v>
      </c>
      <c r="C518" s="111" t="s">
        <v>2276</v>
      </c>
      <c r="D518" s="111" t="s">
        <v>1593</v>
      </c>
      <c r="E518" s="111" t="s">
        <v>1594</v>
      </c>
      <c r="F518" s="112">
        <v>300.0</v>
      </c>
      <c r="G518" s="111" t="s">
        <v>2125</v>
      </c>
      <c r="H518" s="111" t="s">
        <v>386</v>
      </c>
      <c r="I518" s="111" t="s">
        <v>2126</v>
      </c>
      <c r="J518" s="111" t="s">
        <v>1470</v>
      </c>
    </row>
    <row r="519" ht="18.75" hidden="1" customHeight="1">
      <c r="A519" s="111" t="s">
        <v>1590</v>
      </c>
      <c r="B519" s="111" t="s">
        <v>2275</v>
      </c>
      <c r="C519" s="111" t="s">
        <v>2276</v>
      </c>
      <c r="D519" s="111" t="s">
        <v>1593</v>
      </c>
      <c r="E519" s="111" t="s">
        <v>1594</v>
      </c>
      <c r="F519" s="112">
        <v>300.0</v>
      </c>
      <c r="G519" s="111" t="s">
        <v>2127</v>
      </c>
      <c r="H519" s="111" t="s">
        <v>895</v>
      </c>
      <c r="I519" s="111" t="s">
        <v>2128</v>
      </c>
      <c r="J519" s="111" t="s">
        <v>897</v>
      </c>
    </row>
    <row r="520" ht="18.75" hidden="1" customHeight="1">
      <c r="A520" s="111" t="s">
        <v>1590</v>
      </c>
      <c r="B520" s="111" t="s">
        <v>2275</v>
      </c>
      <c r="C520" s="111" t="s">
        <v>2276</v>
      </c>
      <c r="D520" s="111" t="s">
        <v>1593</v>
      </c>
      <c r="E520" s="111" t="s">
        <v>1594</v>
      </c>
      <c r="F520" s="112">
        <v>300.0</v>
      </c>
      <c r="G520" s="111" t="s">
        <v>2129</v>
      </c>
      <c r="H520" s="111" t="s">
        <v>312</v>
      </c>
      <c r="I520" s="111" t="s">
        <v>2130</v>
      </c>
      <c r="J520" s="111" t="s">
        <v>1325</v>
      </c>
    </row>
    <row r="521" ht="18.75" hidden="1" customHeight="1">
      <c r="A521" s="111" t="s">
        <v>1590</v>
      </c>
      <c r="B521" s="111" t="s">
        <v>2275</v>
      </c>
      <c r="C521" s="111" t="s">
        <v>2276</v>
      </c>
      <c r="D521" s="111" t="s">
        <v>1593</v>
      </c>
      <c r="E521" s="111" t="s">
        <v>1594</v>
      </c>
      <c r="F521" s="112">
        <v>300.0</v>
      </c>
      <c r="G521" s="111" t="s">
        <v>2131</v>
      </c>
      <c r="H521" s="111" t="s">
        <v>1351</v>
      </c>
      <c r="I521" s="111" t="s">
        <v>2132</v>
      </c>
      <c r="J521" s="111" t="s">
        <v>1350</v>
      </c>
    </row>
    <row r="522" ht="18.75" hidden="1" customHeight="1">
      <c r="A522" s="111" t="s">
        <v>1590</v>
      </c>
      <c r="B522" s="111" t="s">
        <v>2275</v>
      </c>
      <c r="C522" s="111" t="s">
        <v>2276</v>
      </c>
      <c r="D522" s="111" t="s">
        <v>1593</v>
      </c>
      <c r="E522" s="111" t="s">
        <v>1594</v>
      </c>
      <c r="F522" s="112">
        <v>300.0</v>
      </c>
      <c r="G522" s="111" t="s">
        <v>2133</v>
      </c>
      <c r="H522" s="111" t="s">
        <v>1238</v>
      </c>
      <c r="I522" s="111" t="s">
        <v>2134</v>
      </c>
      <c r="J522" s="111" t="s">
        <v>1237</v>
      </c>
    </row>
    <row r="523" ht="18.75" hidden="1" customHeight="1">
      <c r="A523" s="111" t="s">
        <v>1590</v>
      </c>
      <c r="B523" s="111" t="s">
        <v>2275</v>
      </c>
      <c r="C523" s="111" t="s">
        <v>2276</v>
      </c>
      <c r="D523" s="111" t="s">
        <v>1593</v>
      </c>
      <c r="E523" s="111" t="s">
        <v>1594</v>
      </c>
      <c r="F523" s="112">
        <v>300.0</v>
      </c>
      <c r="G523" s="111" t="s">
        <v>2135</v>
      </c>
      <c r="H523" s="111" t="s">
        <v>635</v>
      </c>
      <c r="I523" s="111" t="s">
        <v>2136</v>
      </c>
      <c r="J523" s="111" t="s">
        <v>637</v>
      </c>
    </row>
    <row r="524" ht="18.75" hidden="1" customHeight="1">
      <c r="A524" s="111" t="s">
        <v>1590</v>
      </c>
      <c r="B524" s="111" t="s">
        <v>2275</v>
      </c>
      <c r="C524" s="111" t="s">
        <v>2276</v>
      </c>
      <c r="D524" s="111" t="s">
        <v>1593</v>
      </c>
      <c r="E524" s="111" t="s">
        <v>1594</v>
      </c>
      <c r="F524" s="112">
        <v>300.0</v>
      </c>
      <c r="G524" s="111" t="s">
        <v>2137</v>
      </c>
      <c r="H524" s="111" t="s">
        <v>90</v>
      </c>
      <c r="I524" s="111" t="s">
        <v>2138</v>
      </c>
      <c r="J524" s="111" t="s">
        <v>571</v>
      </c>
    </row>
    <row r="525" ht="18.75" hidden="1" customHeight="1">
      <c r="A525" s="111" t="s">
        <v>1590</v>
      </c>
      <c r="B525" s="111" t="s">
        <v>2275</v>
      </c>
      <c r="C525" s="111" t="s">
        <v>2276</v>
      </c>
      <c r="D525" s="111" t="s">
        <v>1593</v>
      </c>
      <c r="E525" s="111" t="s">
        <v>1594</v>
      </c>
      <c r="F525" s="112">
        <v>300.0</v>
      </c>
      <c r="G525" s="111" t="s">
        <v>2139</v>
      </c>
      <c r="H525" s="111" t="s">
        <v>237</v>
      </c>
      <c r="I525" s="111" t="s">
        <v>2140</v>
      </c>
      <c r="J525" s="111" t="s">
        <v>1173</v>
      </c>
    </row>
    <row r="526" ht="18.75" hidden="1" customHeight="1">
      <c r="A526" s="111" t="s">
        <v>1590</v>
      </c>
      <c r="B526" s="111" t="s">
        <v>2275</v>
      </c>
      <c r="C526" s="111" t="s">
        <v>2276</v>
      </c>
      <c r="D526" s="111" t="s">
        <v>1593</v>
      </c>
      <c r="E526" s="111" t="s">
        <v>1594</v>
      </c>
      <c r="F526" s="112">
        <v>300.0</v>
      </c>
      <c r="G526" s="111" t="s">
        <v>2141</v>
      </c>
      <c r="H526" s="111" t="s">
        <v>179</v>
      </c>
      <c r="I526" s="111" t="s">
        <v>2142</v>
      </c>
      <c r="J526" s="111" t="s">
        <v>567</v>
      </c>
    </row>
    <row r="527" ht="18.75" hidden="1" customHeight="1">
      <c r="A527" s="111" t="s">
        <v>1590</v>
      </c>
      <c r="B527" s="111" t="s">
        <v>2275</v>
      </c>
      <c r="C527" s="111" t="s">
        <v>2276</v>
      </c>
      <c r="D527" s="111" t="s">
        <v>1593</v>
      </c>
      <c r="E527" s="111" t="s">
        <v>1594</v>
      </c>
      <c r="F527" s="112">
        <v>300.0</v>
      </c>
      <c r="G527" s="111" t="s">
        <v>2143</v>
      </c>
      <c r="H527" s="111" t="s">
        <v>299</v>
      </c>
      <c r="I527" s="111" t="s">
        <v>2144</v>
      </c>
      <c r="J527" s="111" t="s">
        <v>948</v>
      </c>
    </row>
    <row r="528" ht="18.75" hidden="1" customHeight="1">
      <c r="A528" s="111" t="s">
        <v>1590</v>
      </c>
      <c r="B528" s="111" t="s">
        <v>2275</v>
      </c>
      <c r="C528" s="111" t="s">
        <v>2276</v>
      </c>
      <c r="D528" s="111" t="s">
        <v>1593</v>
      </c>
      <c r="E528" s="111" t="s">
        <v>1594</v>
      </c>
      <c r="F528" s="112">
        <v>300.0</v>
      </c>
      <c r="G528" s="111" t="s">
        <v>2145</v>
      </c>
      <c r="H528" s="111" t="s">
        <v>419</v>
      </c>
      <c r="I528" s="111" t="s">
        <v>2146</v>
      </c>
      <c r="J528" s="111" t="s">
        <v>418</v>
      </c>
    </row>
    <row r="529" ht="18.75" hidden="1" customHeight="1">
      <c r="A529" s="111" t="s">
        <v>1590</v>
      </c>
      <c r="B529" s="111" t="s">
        <v>2275</v>
      </c>
      <c r="C529" s="111" t="s">
        <v>2276</v>
      </c>
      <c r="D529" s="111" t="s">
        <v>1593</v>
      </c>
      <c r="E529" s="111" t="s">
        <v>1594</v>
      </c>
      <c r="F529" s="112">
        <v>300.0</v>
      </c>
      <c r="G529" s="111" t="s">
        <v>2147</v>
      </c>
      <c r="H529" s="111" t="s">
        <v>200</v>
      </c>
      <c r="I529" s="111" t="s">
        <v>2148</v>
      </c>
      <c r="J529" s="111" t="s">
        <v>1516</v>
      </c>
    </row>
    <row r="530" ht="18.75" hidden="1" customHeight="1">
      <c r="A530" s="111" t="s">
        <v>1590</v>
      </c>
      <c r="B530" s="111" t="s">
        <v>2275</v>
      </c>
      <c r="C530" s="111" t="s">
        <v>2276</v>
      </c>
      <c r="D530" s="111" t="s">
        <v>1593</v>
      </c>
      <c r="E530" s="111" t="s">
        <v>1594</v>
      </c>
      <c r="F530" s="112">
        <v>300.0</v>
      </c>
      <c r="G530" s="111" t="s">
        <v>2149</v>
      </c>
      <c r="H530" s="111" t="s">
        <v>137</v>
      </c>
      <c r="I530" s="111" t="s">
        <v>2150</v>
      </c>
      <c r="J530" s="111" t="s">
        <v>136</v>
      </c>
    </row>
    <row r="531" ht="18.75" hidden="1" customHeight="1">
      <c r="A531" s="111" t="s">
        <v>1590</v>
      </c>
      <c r="B531" s="111" t="s">
        <v>2275</v>
      </c>
      <c r="C531" s="111" t="s">
        <v>2276</v>
      </c>
      <c r="D531" s="111" t="s">
        <v>1593</v>
      </c>
      <c r="E531" s="111" t="s">
        <v>1594</v>
      </c>
      <c r="F531" s="112">
        <v>300.0</v>
      </c>
      <c r="G531" s="111" t="s">
        <v>2151</v>
      </c>
      <c r="H531" s="111" t="s">
        <v>1042</v>
      </c>
      <c r="I531" s="111" t="s">
        <v>2152</v>
      </c>
      <c r="J531" s="111" t="s">
        <v>1041</v>
      </c>
    </row>
    <row r="532" ht="18.75" hidden="1" customHeight="1">
      <c r="A532" s="111" t="s">
        <v>1590</v>
      </c>
      <c r="B532" s="111" t="s">
        <v>2275</v>
      </c>
      <c r="C532" s="111" t="s">
        <v>2276</v>
      </c>
      <c r="D532" s="111" t="s">
        <v>1593</v>
      </c>
      <c r="E532" s="111" t="s">
        <v>1594</v>
      </c>
      <c r="F532" s="112">
        <v>300.0</v>
      </c>
      <c r="G532" s="111" t="s">
        <v>2153</v>
      </c>
      <c r="H532" s="111" t="s">
        <v>1254</v>
      </c>
      <c r="I532" s="111" t="s">
        <v>2154</v>
      </c>
      <c r="J532" s="111" t="s">
        <v>1253</v>
      </c>
    </row>
    <row r="533" ht="18.75" hidden="1" customHeight="1">
      <c r="A533" s="111" t="s">
        <v>1590</v>
      </c>
      <c r="B533" s="111" t="s">
        <v>2275</v>
      </c>
      <c r="C533" s="111" t="s">
        <v>2276</v>
      </c>
      <c r="D533" s="111" t="s">
        <v>1593</v>
      </c>
      <c r="E533" s="111" t="s">
        <v>1594</v>
      </c>
      <c r="F533" s="112">
        <v>300.0</v>
      </c>
      <c r="G533" s="111" t="s">
        <v>2155</v>
      </c>
      <c r="H533" s="111" t="s">
        <v>407</v>
      </c>
      <c r="I533" s="111" t="s">
        <v>2156</v>
      </c>
      <c r="J533" s="111" t="s">
        <v>863</v>
      </c>
    </row>
    <row r="534" ht="18.75" hidden="1" customHeight="1">
      <c r="A534" s="111" t="s">
        <v>1590</v>
      </c>
      <c r="B534" s="111" t="s">
        <v>2275</v>
      </c>
      <c r="C534" s="111" t="s">
        <v>2276</v>
      </c>
      <c r="D534" s="111" t="s">
        <v>1593</v>
      </c>
      <c r="E534" s="111" t="s">
        <v>1594</v>
      </c>
      <c r="F534" s="112">
        <v>300.0</v>
      </c>
      <c r="G534" s="111" t="s">
        <v>2157</v>
      </c>
      <c r="H534" s="111" t="s">
        <v>2158</v>
      </c>
      <c r="I534" s="111" t="s">
        <v>2159</v>
      </c>
      <c r="J534" s="111" t="s">
        <v>1561</v>
      </c>
    </row>
    <row r="535" ht="18.75" hidden="1" customHeight="1">
      <c r="A535" s="111" t="s">
        <v>1590</v>
      </c>
      <c r="B535" s="111" t="s">
        <v>2275</v>
      </c>
      <c r="C535" s="111" t="s">
        <v>2276</v>
      </c>
      <c r="D535" s="111" t="s">
        <v>1593</v>
      </c>
      <c r="E535" s="111" t="s">
        <v>1594</v>
      </c>
      <c r="F535" s="112">
        <v>300.0</v>
      </c>
      <c r="G535" s="111" t="s">
        <v>2160</v>
      </c>
      <c r="H535" s="111" t="s">
        <v>298</v>
      </c>
      <c r="I535" s="111" t="s">
        <v>2161</v>
      </c>
      <c r="J535" s="111" t="s">
        <v>1275</v>
      </c>
    </row>
    <row r="536" ht="18.75" hidden="1" customHeight="1">
      <c r="A536" s="111" t="s">
        <v>1590</v>
      </c>
      <c r="B536" s="111" t="s">
        <v>2275</v>
      </c>
      <c r="C536" s="111" t="s">
        <v>2276</v>
      </c>
      <c r="D536" s="111" t="s">
        <v>1593</v>
      </c>
      <c r="E536" s="111" t="s">
        <v>1594</v>
      </c>
      <c r="F536" s="112">
        <v>300.0</v>
      </c>
      <c r="G536" s="111" t="s">
        <v>2162</v>
      </c>
      <c r="H536" s="111" t="s">
        <v>1482</v>
      </c>
      <c r="I536" s="111" t="s">
        <v>2163</v>
      </c>
      <c r="J536" s="111" t="s">
        <v>1484</v>
      </c>
    </row>
    <row r="537" ht="18.75" hidden="1" customHeight="1">
      <c r="A537" s="111" t="s">
        <v>1590</v>
      </c>
      <c r="B537" s="111" t="s">
        <v>2275</v>
      </c>
      <c r="C537" s="111" t="s">
        <v>2276</v>
      </c>
      <c r="D537" s="111" t="s">
        <v>1593</v>
      </c>
      <c r="E537" s="111" t="s">
        <v>1594</v>
      </c>
      <c r="F537" s="112">
        <v>300.0</v>
      </c>
      <c r="G537" s="111" t="s">
        <v>2164</v>
      </c>
      <c r="H537" s="111" t="s">
        <v>92</v>
      </c>
      <c r="I537" s="111" t="s">
        <v>2165</v>
      </c>
      <c r="J537" s="111" t="s">
        <v>531</v>
      </c>
    </row>
    <row r="538" ht="18.75" hidden="1" customHeight="1">
      <c r="A538" s="111" t="s">
        <v>1590</v>
      </c>
      <c r="B538" s="111" t="s">
        <v>2275</v>
      </c>
      <c r="C538" s="111" t="s">
        <v>2276</v>
      </c>
      <c r="D538" s="111" t="s">
        <v>1593</v>
      </c>
      <c r="E538" s="111" t="s">
        <v>1594</v>
      </c>
      <c r="F538" s="112">
        <v>300.0</v>
      </c>
      <c r="G538" s="111" t="s">
        <v>2166</v>
      </c>
      <c r="H538" s="111" t="s">
        <v>588</v>
      </c>
      <c r="I538" s="111" t="s">
        <v>2167</v>
      </c>
      <c r="J538" s="111" t="s">
        <v>590</v>
      </c>
    </row>
    <row r="539" ht="18.75" hidden="1" customHeight="1">
      <c r="A539" s="111" t="s">
        <v>1590</v>
      </c>
      <c r="B539" s="111" t="s">
        <v>2275</v>
      </c>
      <c r="C539" s="111" t="s">
        <v>2276</v>
      </c>
      <c r="D539" s="111" t="s">
        <v>1593</v>
      </c>
      <c r="E539" s="111" t="s">
        <v>1594</v>
      </c>
      <c r="F539" s="112">
        <v>300.0</v>
      </c>
      <c r="G539" s="111" t="s">
        <v>2168</v>
      </c>
      <c r="H539" s="111" t="s">
        <v>79</v>
      </c>
      <c r="I539" s="111" t="s">
        <v>2169</v>
      </c>
      <c r="J539" s="111" t="s">
        <v>526</v>
      </c>
    </row>
    <row r="540" ht="18.75" hidden="1" customHeight="1">
      <c r="A540" s="111" t="s">
        <v>1590</v>
      </c>
      <c r="B540" s="111" t="s">
        <v>2275</v>
      </c>
      <c r="C540" s="111" t="s">
        <v>2276</v>
      </c>
      <c r="D540" s="111" t="s">
        <v>1593</v>
      </c>
      <c r="E540" s="111" t="s">
        <v>1594</v>
      </c>
      <c r="F540" s="112">
        <v>300.0</v>
      </c>
      <c r="G540" s="111" t="s">
        <v>2170</v>
      </c>
      <c r="H540" s="111" t="s">
        <v>1344</v>
      </c>
      <c r="I540" s="111" t="s">
        <v>2171</v>
      </c>
      <c r="J540" s="111" t="s">
        <v>1349</v>
      </c>
    </row>
    <row r="541" ht="18.75" hidden="1" customHeight="1">
      <c r="A541" s="111" t="s">
        <v>1590</v>
      </c>
      <c r="B541" s="111" t="s">
        <v>2275</v>
      </c>
      <c r="C541" s="111" t="s">
        <v>2276</v>
      </c>
      <c r="D541" s="111" t="s">
        <v>1593</v>
      </c>
      <c r="E541" s="111" t="s">
        <v>1594</v>
      </c>
      <c r="F541" s="112">
        <v>300.0</v>
      </c>
      <c r="G541" s="111" t="s">
        <v>2172</v>
      </c>
      <c r="H541" s="111" t="s">
        <v>371</v>
      </c>
      <c r="I541" s="111" t="s">
        <v>2173</v>
      </c>
      <c r="J541" s="111" t="s">
        <v>973</v>
      </c>
    </row>
    <row r="542" ht="18.75" hidden="1" customHeight="1">
      <c r="A542" s="111" t="s">
        <v>1590</v>
      </c>
      <c r="B542" s="111" t="s">
        <v>2275</v>
      </c>
      <c r="C542" s="111" t="s">
        <v>2276</v>
      </c>
      <c r="D542" s="111" t="s">
        <v>1593</v>
      </c>
      <c r="E542" s="111" t="s">
        <v>1594</v>
      </c>
      <c r="F542" s="112">
        <v>300.0</v>
      </c>
      <c r="G542" s="111" t="s">
        <v>2174</v>
      </c>
      <c r="H542" s="111" t="s">
        <v>331</v>
      </c>
      <c r="I542" s="111" t="s">
        <v>2175</v>
      </c>
      <c r="J542" s="111" t="s">
        <v>1030</v>
      </c>
    </row>
    <row r="543" ht="18.75" hidden="1" customHeight="1">
      <c r="A543" s="111" t="s">
        <v>1590</v>
      </c>
      <c r="B543" s="111" t="s">
        <v>2275</v>
      </c>
      <c r="C543" s="111" t="s">
        <v>2276</v>
      </c>
      <c r="D543" s="111" t="s">
        <v>1593</v>
      </c>
      <c r="E543" s="111" t="s">
        <v>1594</v>
      </c>
      <c r="F543" s="112">
        <v>300.0</v>
      </c>
      <c r="G543" s="111" t="s">
        <v>2176</v>
      </c>
      <c r="H543" s="111" t="s">
        <v>94</v>
      </c>
      <c r="I543" s="111" t="s">
        <v>2177</v>
      </c>
      <c r="J543" s="111" t="s">
        <v>563</v>
      </c>
    </row>
    <row r="544" ht="18.75" hidden="1" customHeight="1">
      <c r="A544" s="111" t="s">
        <v>1590</v>
      </c>
      <c r="B544" s="111" t="s">
        <v>2275</v>
      </c>
      <c r="C544" s="111" t="s">
        <v>2276</v>
      </c>
      <c r="D544" s="111" t="s">
        <v>1593</v>
      </c>
      <c r="E544" s="111" t="s">
        <v>1594</v>
      </c>
      <c r="F544" s="112">
        <v>300.0</v>
      </c>
      <c r="G544" s="111" t="s">
        <v>2178</v>
      </c>
      <c r="H544" s="111" t="s">
        <v>631</v>
      </c>
      <c r="I544" s="111" t="s">
        <v>2179</v>
      </c>
      <c r="J544" s="111" t="s">
        <v>633</v>
      </c>
    </row>
    <row r="545" ht="18.75" hidden="1" customHeight="1">
      <c r="A545" s="111" t="s">
        <v>1590</v>
      </c>
      <c r="B545" s="111" t="s">
        <v>2275</v>
      </c>
      <c r="C545" s="111" t="s">
        <v>2276</v>
      </c>
      <c r="D545" s="111" t="s">
        <v>1593</v>
      </c>
      <c r="E545" s="111" t="s">
        <v>1594</v>
      </c>
      <c r="F545" s="112">
        <v>300.0</v>
      </c>
      <c r="G545" s="111" t="s">
        <v>2180</v>
      </c>
      <c r="H545" s="111" t="s">
        <v>627</v>
      </c>
      <c r="I545" s="111" t="s">
        <v>2181</v>
      </c>
      <c r="J545" s="111" t="s">
        <v>629</v>
      </c>
    </row>
    <row r="546" ht="18.75" hidden="1" customHeight="1">
      <c r="A546" s="111" t="s">
        <v>1590</v>
      </c>
      <c r="B546" s="111" t="s">
        <v>2275</v>
      </c>
      <c r="C546" s="111" t="s">
        <v>2276</v>
      </c>
      <c r="D546" s="111" t="s">
        <v>1593</v>
      </c>
      <c r="E546" s="111" t="s">
        <v>1594</v>
      </c>
      <c r="F546" s="112">
        <v>300.0</v>
      </c>
      <c r="G546" s="111" t="s">
        <v>2182</v>
      </c>
      <c r="H546" s="111" t="s">
        <v>387</v>
      </c>
      <c r="I546" s="111" t="s">
        <v>2183</v>
      </c>
      <c r="J546" s="111" t="s">
        <v>1321</v>
      </c>
    </row>
    <row r="547" ht="18.75" hidden="1" customHeight="1">
      <c r="A547" s="111" t="s">
        <v>1590</v>
      </c>
      <c r="B547" s="111" t="s">
        <v>2275</v>
      </c>
      <c r="C547" s="111" t="s">
        <v>2276</v>
      </c>
      <c r="D547" s="111" t="s">
        <v>1593</v>
      </c>
      <c r="E547" s="111" t="s">
        <v>1594</v>
      </c>
      <c r="F547" s="112">
        <v>300.0</v>
      </c>
      <c r="G547" s="111" t="s">
        <v>2184</v>
      </c>
      <c r="H547" s="111" t="s">
        <v>848</v>
      </c>
      <c r="I547" s="111" t="s">
        <v>2185</v>
      </c>
      <c r="J547" s="111" t="s">
        <v>852</v>
      </c>
    </row>
    <row r="548" ht="18.75" hidden="1" customHeight="1">
      <c r="A548" s="111" t="s">
        <v>1590</v>
      </c>
      <c r="B548" s="111" t="s">
        <v>2275</v>
      </c>
      <c r="C548" s="111" t="s">
        <v>2276</v>
      </c>
      <c r="D548" s="111" t="s">
        <v>1593</v>
      </c>
      <c r="E548" s="111" t="s">
        <v>1594</v>
      </c>
      <c r="F548" s="112">
        <v>300.0</v>
      </c>
      <c r="G548" s="111" t="s">
        <v>2186</v>
      </c>
      <c r="H548" s="111" t="s">
        <v>842</v>
      </c>
      <c r="I548" s="111" t="s">
        <v>2187</v>
      </c>
      <c r="J548" s="111" t="s">
        <v>841</v>
      </c>
    </row>
    <row r="549" ht="18.75" hidden="1" customHeight="1">
      <c r="A549" s="111" t="s">
        <v>1590</v>
      </c>
      <c r="B549" s="111" t="s">
        <v>2275</v>
      </c>
      <c r="C549" s="111" t="s">
        <v>2276</v>
      </c>
      <c r="D549" s="111" t="s">
        <v>1593</v>
      </c>
      <c r="E549" s="111" t="s">
        <v>1594</v>
      </c>
      <c r="F549" s="112">
        <v>300.0</v>
      </c>
      <c r="G549" s="111" t="s">
        <v>2188</v>
      </c>
      <c r="H549" s="111" t="s">
        <v>251</v>
      </c>
      <c r="I549" s="111" t="s">
        <v>2189</v>
      </c>
      <c r="J549" s="111" t="s">
        <v>553</v>
      </c>
    </row>
    <row r="550" ht="18.75" hidden="1" customHeight="1">
      <c r="A550" s="111" t="s">
        <v>1590</v>
      </c>
      <c r="B550" s="111" t="s">
        <v>2275</v>
      </c>
      <c r="C550" s="111" t="s">
        <v>2276</v>
      </c>
      <c r="D550" s="111" t="s">
        <v>1593</v>
      </c>
      <c r="E550" s="111" t="s">
        <v>1594</v>
      </c>
      <c r="F550" s="112">
        <v>300.0</v>
      </c>
      <c r="G550" s="111" t="s">
        <v>2190</v>
      </c>
      <c r="H550" s="111" t="s">
        <v>75</v>
      </c>
      <c r="I550" s="111" t="s">
        <v>2191</v>
      </c>
      <c r="J550" s="111" t="s">
        <v>510</v>
      </c>
    </row>
    <row r="551" ht="18.75" hidden="1" customHeight="1">
      <c r="A551" s="111" t="s">
        <v>1590</v>
      </c>
      <c r="B551" s="111" t="s">
        <v>2275</v>
      </c>
      <c r="C551" s="111" t="s">
        <v>2276</v>
      </c>
      <c r="D551" s="111" t="s">
        <v>1593</v>
      </c>
      <c r="E551" s="111" t="s">
        <v>1594</v>
      </c>
      <c r="F551" s="112">
        <v>300.0</v>
      </c>
      <c r="G551" s="111" t="s">
        <v>2192</v>
      </c>
      <c r="H551" s="111" t="s">
        <v>1149</v>
      </c>
      <c r="I551" s="111" t="s">
        <v>2193</v>
      </c>
      <c r="J551" s="111" t="s">
        <v>1148</v>
      </c>
    </row>
    <row r="552" ht="18.75" hidden="1" customHeight="1">
      <c r="A552" s="111" t="s">
        <v>1590</v>
      </c>
      <c r="B552" s="111" t="s">
        <v>2275</v>
      </c>
      <c r="C552" s="111" t="s">
        <v>2276</v>
      </c>
      <c r="D552" s="111" t="s">
        <v>1593</v>
      </c>
      <c r="E552" s="111" t="s">
        <v>1594</v>
      </c>
      <c r="F552" s="112">
        <v>300.0</v>
      </c>
      <c r="G552" s="111" t="s">
        <v>2194</v>
      </c>
      <c r="H552" s="111" t="s">
        <v>1190</v>
      </c>
      <c r="I552" s="111" t="s">
        <v>2195</v>
      </c>
      <c r="J552" s="111" t="s">
        <v>1189</v>
      </c>
    </row>
    <row r="553" ht="18.75" hidden="1" customHeight="1">
      <c r="A553" s="111" t="s">
        <v>1590</v>
      </c>
      <c r="B553" s="111" t="s">
        <v>2275</v>
      </c>
      <c r="C553" s="111" t="s">
        <v>2276</v>
      </c>
      <c r="D553" s="111" t="s">
        <v>1593</v>
      </c>
      <c r="E553" s="111" t="s">
        <v>1594</v>
      </c>
      <c r="F553" s="112">
        <v>300.0</v>
      </c>
      <c r="G553" s="111" t="s">
        <v>2196</v>
      </c>
      <c r="H553" s="111" t="s">
        <v>295</v>
      </c>
      <c r="I553" s="111" t="s">
        <v>2197</v>
      </c>
      <c r="J553" s="111" t="s">
        <v>1429</v>
      </c>
    </row>
    <row r="554" ht="18.75" hidden="1" customHeight="1">
      <c r="A554" s="111" t="s">
        <v>1590</v>
      </c>
      <c r="B554" s="111" t="s">
        <v>2275</v>
      </c>
      <c r="C554" s="111" t="s">
        <v>2276</v>
      </c>
      <c r="D554" s="111" t="s">
        <v>1593</v>
      </c>
      <c r="E554" s="111" t="s">
        <v>1594</v>
      </c>
      <c r="F554" s="112">
        <v>300.0</v>
      </c>
      <c r="G554" s="111" t="s">
        <v>2198</v>
      </c>
      <c r="H554" s="111" t="s">
        <v>2199</v>
      </c>
      <c r="I554" s="111" t="s">
        <v>2200</v>
      </c>
      <c r="J554" s="111" t="s">
        <v>1966</v>
      </c>
    </row>
    <row r="555" ht="18.75" hidden="1" customHeight="1">
      <c r="A555" s="111" t="s">
        <v>1590</v>
      </c>
      <c r="B555" s="111" t="s">
        <v>2275</v>
      </c>
      <c r="C555" s="111" t="s">
        <v>2276</v>
      </c>
      <c r="D555" s="111" t="s">
        <v>1593</v>
      </c>
      <c r="E555" s="111" t="s">
        <v>1594</v>
      </c>
      <c r="F555" s="112">
        <v>300.0</v>
      </c>
      <c r="G555" s="111" t="s">
        <v>2201</v>
      </c>
      <c r="H555" s="111" t="s">
        <v>1327</v>
      </c>
      <c r="I555" s="111" t="s">
        <v>2202</v>
      </c>
      <c r="J555" s="111" t="s">
        <v>1329</v>
      </c>
    </row>
    <row r="556" ht="18.75" hidden="1" customHeight="1">
      <c r="A556" s="111" t="s">
        <v>1590</v>
      </c>
      <c r="B556" s="111" t="s">
        <v>2275</v>
      </c>
      <c r="C556" s="111" t="s">
        <v>2276</v>
      </c>
      <c r="D556" s="111" t="s">
        <v>1593</v>
      </c>
      <c r="E556" s="111" t="s">
        <v>1594</v>
      </c>
      <c r="F556" s="112">
        <v>300.0</v>
      </c>
      <c r="G556" s="111" t="s">
        <v>2203</v>
      </c>
      <c r="H556" s="111" t="s">
        <v>127</v>
      </c>
      <c r="I556" s="111" t="s">
        <v>2204</v>
      </c>
      <c r="J556" s="111" t="s">
        <v>712</v>
      </c>
    </row>
    <row r="557" ht="18.75" hidden="1" customHeight="1">
      <c r="A557" s="111" t="s">
        <v>1590</v>
      </c>
      <c r="B557" s="111" t="s">
        <v>2275</v>
      </c>
      <c r="C557" s="111" t="s">
        <v>2276</v>
      </c>
      <c r="D557" s="111" t="s">
        <v>1593</v>
      </c>
      <c r="E557" s="111" t="s">
        <v>1594</v>
      </c>
      <c r="F557" s="112">
        <v>300.0</v>
      </c>
      <c r="G557" s="111" t="s">
        <v>2205</v>
      </c>
      <c r="H557" s="111" t="s">
        <v>708</v>
      </c>
      <c r="I557" s="111" t="s">
        <v>2206</v>
      </c>
      <c r="J557" s="111" t="s">
        <v>2207</v>
      </c>
    </row>
    <row r="558" ht="18.75" hidden="1" customHeight="1">
      <c r="A558" s="111" t="s">
        <v>1590</v>
      </c>
      <c r="B558" s="111" t="s">
        <v>2275</v>
      </c>
      <c r="C558" s="111" t="s">
        <v>2276</v>
      </c>
      <c r="D558" s="111" t="s">
        <v>1593</v>
      </c>
      <c r="E558" s="111" t="s">
        <v>1594</v>
      </c>
      <c r="F558" s="112">
        <v>300.0</v>
      </c>
      <c r="G558" s="111" t="s">
        <v>2210</v>
      </c>
      <c r="H558" s="111" t="s">
        <v>258</v>
      </c>
      <c r="I558" s="111" t="s">
        <v>2211</v>
      </c>
      <c r="J558" s="111" t="s">
        <v>1277</v>
      </c>
    </row>
    <row r="559" ht="18.75" hidden="1" customHeight="1">
      <c r="A559" s="111" t="s">
        <v>1590</v>
      </c>
      <c r="B559" s="111" t="s">
        <v>2275</v>
      </c>
      <c r="C559" s="111" t="s">
        <v>2276</v>
      </c>
      <c r="D559" s="111" t="s">
        <v>1593</v>
      </c>
      <c r="E559" s="111" t="s">
        <v>1594</v>
      </c>
      <c r="F559" s="112">
        <v>300.0</v>
      </c>
      <c r="G559" s="111" t="s">
        <v>2212</v>
      </c>
      <c r="H559" s="111" t="s">
        <v>385</v>
      </c>
      <c r="I559" s="111" t="s">
        <v>2213</v>
      </c>
      <c r="J559" s="111" t="s">
        <v>1500</v>
      </c>
    </row>
    <row r="560" ht="18.75" hidden="1" customHeight="1">
      <c r="A560" s="111" t="s">
        <v>1590</v>
      </c>
      <c r="B560" s="111" t="s">
        <v>2275</v>
      </c>
      <c r="C560" s="111" t="s">
        <v>2276</v>
      </c>
      <c r="D560" s="111" t="s">
        <v>1593</v>
      </c>
      <c r="E560" s="111" t="s">
        <v>1594</v>
      </c>
      <c r="F560" s="112">
        <v>300.0</v>
      </c>
      <c r="G560" s="111" t="s">
        <v>2214</v>
      </c>
      <c r="H560" s="111" t="s">
        <v>1404</v>
      </c>
      <c r="I560" s="111" t="s">
        <v>2215</v>
      </c>
      <c r="J560" s="111" t="s">
        <v>1403</v>
      </c>
    </row>
    <row r="561" ht="18.75" hidden="1" customHeight="1">
      <c r="A561" s="111" t="s">
        <v>1590</v>
      </c>
      <c r="B561" s="111" t="s">
        <v>2275</v>
      </c>
      <c r="C561" s="111" t="s">
        <v>2276</v>
      </c>
      <c r="D561" s="111" t="s">
        <v>1593</v>
      </c>
      <c r="E561" s="111" t="s">
        <v>1594</v>
      </c>
      <c r="F561" s="112">
        <v>300.0</v>
      </c>
      <c r="G561" s="111" t="s">
        <v>2216</v>
      </c>
      <c r="H561" s="111" t="s">
        <v>2217</v>
      </c>
      <c r="I561" s="111" t="s">
        <v>2218</v>
      </c>
      <c r="J561" s="111" t="s">
        <v>1537</v>
      </c>
    </row>
    <row r="562" ht="18.75" hidden="1" customHeight="1">
      <c r="A562" s="111" t="s">
        <v>1590</v>
      </c>
      <c r="B562" s="111" t="s">
        <v>2275</v>
      </c>
      <c r="C562" s="111" t="s">
        <v>2276</v>
      </c>
      <c r="D562" s="111" t="s">
        <v>1593</v>
      </c>
      <c r="E562" s="111" t="s">
        <v>1594</v>
      </c>
      <c r="F562" s="112">
        <v>300.0</v>
      </c>
      <c r="G562" s="111" t="s">
        <v>2219</v>
      </c>
      <c r="H562" s="111" t="s">
        <v>174</v>
      </c>
      <c r="I562" s="111" t="s">
        <v>2220</v>
      </c>
      <c r="J562" s="111" t="s">
        <v>787</v>
      </c>
    </row>
    <row r="563" ht="18.75" hidden="1" customHeight="1">
      <c r="A563" s="111" t="s">
        <v>1590</v>
      </c>
      <c r="B563" s="111" t="s">
        <v>2275</v>
      </c>
      <c r="C563" s="111" t="s">
        <v>2276</v>
      </c>
      <c r="D563" s="111" t="s">
        <v>1593</v>
      </c>
      <c r="E563" s="111" t="s">
        <v>1594</v>
      </c>
      <c r="F563" s="112">
        <v>300.0</v>
      </c>
      <c r="G563" s="111" t="s">
        <v>2221</v>
      </c>
      <c r="H563" s="111" t="s">
        <v>1258</v>
      </c>
      <c r="I563" s="111" t="s">
        <v>2222</v>
      </c>
      <c r="J563" s="111" t="s">
        <v>1257</v>
      </c>
    </row>
    <row r="564" ht="18.75" hidden="1" customHeight="1">
      <c r="A564" s="111" t="s">
        <v>1590</v>
      </c>
      <c r="B564" s="111" t="s">
        <v>2275</v>
      </c>
      <c r="C564" s="111" t="s">
        <v>2276</v>
      </c>
      <c r="D564" s="111" t="s">
        <v>1593</v>
      </c>
      <c r="E564" s="111" t="s">
        <v>1594</v>
      </c>
      <c r="F564" s="112">
        <v>300.0</v>
      </c>
      <c r="G564" s="111" t="s">
        <v>2223</v>
      </c>
      <c r="H564" s="111" t="s">
        <v>1372</v>
      </c>
      <c r="I564" s="111" t="s">
        <v>2224</v>
      </c>
      <c r="J564" s="111" t="s">
        <v>1374</v>
      </c>
    </row>
    <row r="565" ht="18.75" hidden="1" customHeight="1">
      <c r="A565" s="111" t="s">
        <v>1590</v>
      </c>
      <c r="B565" s="111" t="s">
        <v>2275</v>
      </c>
      <c r="C565" s="111" t="s">
        <v>2276</v>
      </c>
      <c r="D565" s="111" t="s">
        <v>1593</v>
      </c>
      <c r="E565" s="111" t="s">
        <v>1594</v>
      </c>
      <c r="F565" s="112">
        <v>300.0</v>
      </c>
      <c r="G565" s="111" t="s">
        <v>2225</v>
      </c>
      <c r="H565" s="111" t="s">
        <v>413</v>
      </c>
      <c r="I565" s="111" t="s">
        <v>2226</v>
      </c>
      <c r="J565" s="111" t="s">
        <v>412</v>
      </c>
    </row>
    <row r="566" ht="18.75" hidden="1" customHeight="1">
      <c r="A566" s="111" t="s">
        <v>1590</v>
      </c>
      <c r="B566" s="111" t="s">
        <v>2275</v>
      </c>
      <c r="C566" s="111" t="s">
        <v>2276</v>
      </c>
      <c r="D566" s="111" t="s">
        <v>1593</v>
      </c>
      <c r="E566" s="111" t="s">
        <v>1594</v>
      </c>
      <c r="F566" s="112">
        <v>300.0</v>
      </c>
      <c r="G566" s="111" t="s">
        <v>2227</v>
      </c>
      <c r="H566" s="111" t="s">
        <v>99</v>
      </c>
      <c r="I566" s="111" t="s">
        <v>2228</v>
      </c>
      <c r="J566" s="111" t="s">
        <v>1139</v>
      </c>
    </row>
    <row r="567" ht="18.75" hidden="1" customHeight="1">
      <c r="A567" s="111" t="s">
        <v>1590</v>
      </c>
      <c r="B567" s="111" t="s">
        <v>2275</v>
      </c>
      <c r="C567" s="111" t="s">
        <v>2276</v>
      </c>
      <c r="D567" s="111" t="s">
        <v>1593</v>
      </c>
      <c r="E567" s="111" t="s">
        <v>1594</v>
      </c>
      <c r="F567" s="112">
        <v>300.0</v>
      </c>
      <c r="G567" s="111" t="s">
        <v>2229</v>
      </c>
      <c r="H567" s="111" t="s">
        <v>173</v>
      </c>
      <c r="I567" s="111" t="s">
        <v>2230</v>
      </c>
      <c r="J567" s="111" t="s">
        <v>779</v>
      </c>
    </row>
    <row r="568" ht="18.75" hidden="1" customHeight="1">
      <c r="A568" s="111" t="s">
        <v>1590</v>
      </c>
      <c r="B568" s="111" t="s">
        <v>2275</v>
      </c>
      <c r="C568" s="111" t="s">
        <v>2276</v>
      </c>
      <c r="D568" s="111" t="s">
        <v>1593</v>
      </c>
      <c r="E568" s="111" t="s">
        <v>1594</v>
      </c>
      <c r="F568" s="112">
        <v>300.0</v>
      </c>
      <c r="G568" s="111" t="s">
        <v>2231</v>
      </c>
      <c r="H568" s="111" t="s">
        <v>268</v>
      </c>
      <c r="I568" s="111" t="s">
        <v>2232</v>
      </c>
      <c r="J568" s="111" t="s">
        <v>1228</v>
      </c>
    </row>
    <row r="569" ht="18.75" hidden="1" customHeight="1">
      <c r="A569" s="111" t="s">
        <v>1590</v>
      </c>
      <c r="B569" s="111" t="s">
        <v>2275</v>
      </c>
      <c r="C569" s="111" t="s">
        <v>2276</v>
      </c>
      <c r="D569" s="111" t="s">
        <v>1593</v>
      </c>
      <c r="E569" s="111" t="s">
        <v>1594</v>
      </c>
      <c r="F569" s="112">
        <v>300.0</v>
      </c>
      <c r="G569" s="111" t="s">
        <v>2233</v>
      </c>
      <c r="H569" s="111" t="s">
        <v>204</v>
      </c>
      <c r="I569" s="111" t="s">
        <v>2234</v>
      </c>
      <c r="J569" s="111" t="s">
        <v>772</v>
      </c>
    </row>
    <row r="570" ht="18.75" hidden="1" customHeight="1">
      <c r="A570" s="111" t="s">
        <v>1590</v>
      </c>
      <c r="B570" s="111" t="s">
        <v>2275</v>
      </c>
      <c r="C570" s="111" t="s">
        <v>2276</v>
      </c>
      <c r="D570" s="111" t="s">
        <v>1593</v>
      </c>
      <c r="E570" s="111" t="s">
        <v>1594</v>
      </c>
      <c r="F570" s="112">
        <v>300.0</v>
      </c>
      <c r="G570" s="111" t="s">
        <v>2235</v>
      </c>
      <c r="H570" s="111" t="s">
        <v>646</v>
      </c>
      <c r="I570" s="111" t="s">
        <v>2236</v>
      </c>
      <c r="J570" s="111" t="s">
        <v>648</v>
      </c>
    </row>
    <row r="571" ht="18.75" hidden="1" customHeight="1">
      <c r="A571" s="111" t="s">
        <v>1590</v>
      </c>
      <c r="B571" s="111" t="s">
        <v>2275</v>
      </c>
      <c r="C571" s="111" t="s">
        <v>2276</v>
      </c>
      <c r="D571" s="111" t="s">
        <v>1593</v>
      </c>
      <c r="E571" s="111" t="s">
        <v>1594</v>
      </c>
      <c r="F571" s="112">
        <v>300.0</v>
      </c>
      <c r="G571" s="111" t="s">
        <v>2237</v>
      </c>
      <c r="H571" s="111" t="s">
        <v>239</v>
      </c>
      <c r="I571" s="111" t="s">
        <v>2238</v>
      </c>
      <c r="J571" s="111" t="s">
        <v>1201</v>
      </c>
    </row>
    <row r="572" ht="18.75" hidden="1" customHeight="1">
      <c r="A572" s="111" t="s">
        <v>1590</v>
      </c>
      <c r="B572" s="111" t="s">
        <v>2275</v>
      </c>
      <c r="C572" s="111" t="s">
        <v>2276</v>
      </c>
      <c r="D572" s="111" t="s">
        <v>1593</v>
      </c>
      <c r="E572" s="111" t="s">
        <v>1594</v>
      </c>
      <c r="F572" s="112">
        <v>300.0</v>
      </c>
      <c r="G572" s="111" t="s">
        <v>2239</v>
      </c>
      <c r="H572" s="111" t="s">
        <v>618</v>
      </c>
      <c r="I572" s="111" t="s">
        <v>2240</v>
      </c>
      <c r="J572" s="111" t="s">
        <v>626</v>
      </c>
    </row>
    <row r="573" ht="18.75" hidden="1" customHeight="1">
      <c r="A573" s="111" t="s">
        <v>1590</v>
      </c>
      <c r="B573" s="111" t="s">
        <v>2275</v>
      </c>
      <c r="C573" s="111" t="s">
        <v>2276</v>
      </c>
      <c r="D573" s="111" t="s">
        <v>1593</v>
      </c>
      <c r="E573" s="111" t="s">
        <v>1594</v>
      </c>
      <c r="F573" s="112">
        <v>300.0</v>
      </c>
      <c r="G573" s="111" t="s">
        <v>2241</v>
      </c>
      <c r="H573" s="111" t="s">
        <v>389</v>
      </c>
      <c r="I573" s="111" t="s">
        <v>2242</v>
      </c>
      <c r="J573" s="111" t="s">
        <v>1320</v>
      </c>
    </row>
    <row r="574" ht="18.75" hidden="1" customHeight="1">
      <c r="A574" s="111" t="s">
        <v>1590</v>
      </c>
      <c r="B574" s="111" t="s">
        <v>2275</v>
      </c>
      <c r="C574" s="111" t="s">
        <v>2276</v>
      </c>
      <c r="D574" s="111" t="s">
        <v>1593</v>
      </c>
      <c r="E574" s="111" t="s">
        <v>1594</v>
      </c>
      <c r="F574" s="112">
        <v>300.0</v>
      </c>
      <c r="G574" s="111" t="s">
        <v>2243</v>
      </c>
      <c r="H574" s="111" t="s">
        <v>128</v>
      </c>
      <c r="I574" s="111" t="s">
        <v>2244</v>
      </c>
      <c r="J574" s="111" t="s">
        <v>679</v>
      </c>
    </row>
    <row r="575" ht="18.75" hidden="1" customHeight="1">
      <c r="A575" s="111" t="s">
        <v>1590</v>
      </c>
      <c r="B575" s="111" t="s">
        <v>2275</v>
      </c>
      <c r="C575" s="111" t="s">
        <v>2276</v>
      </c>
      <c r="D575" s="111" t="s">
        <v>1593</v>
      </c>
      <c r="E575" s="111" t="s">
        <v>1594</v>
      </c>
      <c r="F575" s="112">
        <v>300.0</v>
      </c>
      <c r="G575" s="111" t="s">
        <v>2245</v>
      </c>
      <c r="H575" s="111" t="s">
        <v>330</v>
      </c>
      <c r="I575" s="111" t="s">
        <v>2246</v>
      </c>
      <c r="J575" s="111" t="s">
        <v>1162</v>
      </c>
    </row>
    <row r="576" ht="18.75" hidden="1" customHeight="1">
      <c r="A576" s="111" t="s">
        <v>1590</v>
      </c>
      <c r="B576" s="111" t="s">
        <v>2275</v>
      </c>
      <c r="C576" s="111" t="s">
        <v>2276</v>
      </c>
      <c r="D576" s="111" t="s">
        <v>1593</v>
      </c>
      <c r="E576" s="111" t="s">
        <v>1594</v>
      </c>
      <c r="F576" s="112">
        <v>300.0</v>
      </c>
      <c r="G576" s="111" t="s">
        <v>2247</v>
      </c>
      <c r="H576" s="111" t="s">
        <v>391</v>
      </c>
      <c r="I576" s="111" t="s">
        <v>2248</v>
      </c>
      <c r="J576" s="111" t="s">
        <v>1342</v>
      </c>
    </row>
    <row r="577" ht="18.75" hidden="1" customHeight="1">
      <c r="A577" s="111" t="s">
        <v>1590</v>
      </c>
      <c r="B577" s="111" t="s">
        <v>2275</v>
      </c>
      <c r="C577" s="111" t="s">
        <v>2276</v>
      </c>
      <c r="D577" s="111" t="s">
        <v>1593</v>
      </c>
      <c r="E577" s="111" t="s">
        <v>1594</v>
      </c>
      <c r="F577" s="112">
        <v>300.0</v>
      </c>
      <c r="G577" s="111" t="s">
        <v>2249</v>
      </c>
      <c r="H577" s="111" t="s">
        <v>1477</v>
      </c>
      <c r="I577" s="111" t="s">
        <v>2250</v>
      </c>
      <c r="J577" s="111" t="s">
        <v>1479</v>
      </c>
    </row>
    <row r="578" ht="18.75" hidden="1" customHeight="1">
      <c r="A578" s="111" t="s">
        <v>1590</v>
      </c>
      <c r="B578" s="111" t="s">
        <v>2275</v>
      </c>
      <c r="C578" s="111" t="s">
        <v>2276</v>
      </c>
      <c r="D578" s="111" t="s">
        <v>1593</v>
      </c>
      <c r="E578" s="111" t="s">
        <v>1594</v>
      </c>
      <c r="F578" s="112">
        <v>300.0</v>
      </c>
      <c r="G578" s="111" t="s">
        <v>2251</v>
      </c>
      <c r="H578" s="111" t="s">
        <v>1078</v>
      </c>
      <c r="I578" s="111" t="s">
        <v>2252</v>
      </c>
      <c r="J578" s="111" t="s">
        <v>1077</v>
      </c>
    </row>
    <row r="579" ht="18.75" hidden="1" customHeight="1">
      <c r="A579" s="111" t="s">
        <v>1590</v>
      </c>
      <c r="B579" s="111" t="s">
        <v>2275</v>
      </c>
      <c r="C579" s="111" t="s">
        <v>2276</v>
      </c>
      <c r="D579" s="111" t="s">
        <v>1593</v>
      </c>
      <c r="E579" s="111" t="s">
        <v>1594</v>
      </c>
      <c r="F579" s="112">
        <v>300.0</v>
      </c>
      <c r="G579" s="111" t="s">
        <v>2253</v>
      </c>
      <c r="H579" s="111" t="s">
        <v>1283</v>
      </c>
      <c r="I579" s="111" t="s">
        <v>2254</v>
      </c>
      <c r="J579" s="111" t="s">
        <v>1282</v>
      </c>
    </row>
    <row r="580" ht="18.75" hidden="1" customHeight="1">
      <c r="A580" s="111" t="s">
        <v>1590</v>
      </c>
      <c r="B580" s="111" t="s">
        <v>2275</v>
      </c>
      <c r="C580" s="111" t="s">
        <v>2276</v>
      </c>
      <c r="D580" s="111" t="s">
        <v>1593</v>
      </c>
      <c r="E580" s="111" t="s">
        <v>1594</v>
      </c>
      <c r="F580" s="112">
        <v>300.0</v>
      </c>
      <c r="G580" s="111" t="s">
        <v>2255</v>
      </c>
      <c r="H580" s="111" t="s">
        <v>1365</v>
      </c>
      <c r="I580" s="111" t="s">
        <v>2256</v>
      </c>
      <c r="J580" s="111" t="s">
        <v>1364</v>
      </c>
    </row>
    <row r="581" ht="18.75" hidden="1" customHeight="1">
      <c r="A581" s="111" t="s">
        <v>1590</v>
      </c>
      <c r="B581" s="111" t="s">
        <v>2275</v>
      </c>
      <c r="C581" s="111" t="s">
        <v>2276</v>
      </c>
      <c r="D581" s="111" t="s">
        <v>1593</v>
      </c>
      <c r="E581" s="111" t="s">
        <v>1594</v>
      </c>
      <c r="F581" s="112">
        <v>300.0</v>
      </c>
      <c r="G581" s="111" t="s">
        <v>2257</v>
      </c>
      <c r="H581" s="111" t="s">
        <v>152</v>
      </c>
      <c r="I581" s="111" t="s">
        <v>2258</v>
      </c>
      <c r="J581" s="111" t="s">
        <v>1459</v>
      </c>
    </row>
    <row r="582" ht="18.75" hidden="1" customHeight="1">
      <c r="A582" s="111" t="s">
        <v>1590</v>
      </c>
      <c r="B582" s="111" t="s">
        <v>2275</v>
      </c>
      <c r="C582" s="111" t="s">
        <v>2276</v>
      </c>
      <c r="D582" s="111" t="s">
        <v>1593</v>
      </c>
      <c r="E582" s="111" t="s">
        <v>1594</v>
      </c>
      <c r="F582" s="112">
        <v>300.0</v>
      </c>
      <c r="G582" s="111" t="s">
        <v>2259</v>
      </c>
      <c r="H582" s="111" t="s">
        <v>337</v>
      </c>
      <c r="I582" s="111" t="s">
        <v>2260</v>
      </c>
      <c r="J582" s="111" t="s">
        <v>549</v>
      </c>
    </row>
    <row r="583" ht="18.75" hidden="1" customHeight="1">
      <c r="A583" s="111" t="s">
        <v>1590</v>
      </c>
      <c r="B583" s="111" t="s">
        <v>2275</v>
      </c>
      <c r="C583" s="111" t="s">
        <v>2276</v>
      </c>
      <c r="D583" s="111" t="s">
        <v>1593</v>
      </c>
      <c r="E583" s="111" t="s">
        <v>1594</v>
      </c>
      <c r="F583" s="112">
        <v>300.0</v>
      </c>
      <c r="G583" s="111" t="s">
        <v>2261</v>
      </c>
      <c r="H583" s="111" t="s">
        <v>184</v>
      </c>
      <c r="I583" s="111" t="s">
        <v>2262</v>
      </c>
      <c r="J583" s="111" t="s">
        <v>889</v>
      </c>
    </row>
    <row r="584" ht="18.75" hidden="1" customHeight="1">
      <c r="A584" s="111" t="s">
        <v>1590</v>
      </c>
      <c r="B584" s="111" t="s">
        <v>2275</v>
      </c>
      <c r="C584" s="111" t="s">
        <v>2276</v>
      </c>
      <c r="D584" s="111" t="s">
        <v>1593</v>
      </c>
      <c r="E584" s="111" t="s">
        <v>1594</v>
      </c>
      <c r="F584" s="112">
        <v>300.0</v>
      </c>
      <c r="G584" s="111" t="s">
        <v>2263</v>
      </c>
      <c r="H584" s="111" t="s">
        <v>122</v>
      </c>
      <c r="I584" s="111" t="s">
        <v>2264</v>
      </c>
      <c r="J584" s="111" t="s">
        <v>1158</v>
      </c>
    </row>
    <row r="585" ht="18.75" hidden="1" customHeight="1">
      <c r="A585" s="111" t="s">
        <v>1590</v>
      </c>
      <c r="B585" s="111" t="s">
        <v>2275</v>
      </c>
      <c r="C585" s="111" t="s">
        <v>2276</v>
      </c>
      <c r="D585" s="111" t="s">
        <v>1593</v>
      </c>
      <c r="E585" s="111" t="s">
        <v>1594</v>
      </c>
      <c r="F585" s="112">
        <v>300.0</v>
      </c>
      <c r="G585" s="111" t="s">
        <v>2265</v>
      </c>
      <c r="H585" s="111" t="s">
        <v>89</v>
      </c>
      <c r="I585" s="111" t="s">
        <v>2266</v>
      </c>
      <c r="J585" s="111" t="s">
        <v>86</v>
      </c>
    </row>
    <row r="586" ht="18.75" hidden="1" customHeight="1">
      <c r="A586" s="111" t="s">
        <v>1590</v>
      </c>
      <c r="B586" s="111" t="s">
        <v>2275</v>
      </c>
      <c r="C586" s="111" t="s">
        <v>2276</v>
      </c>
      <c r="D586" s="111" t="s">
        <v>1593</v>
      </c>
      <c r="E586" s="111" t="s">
        <v>1594</v>
      </c>
      <c r="F586" s="112">
        <v>300.0</v>
      </c>
      <c r="G586" s="111" t="s">
        <v>2267</v>
      </c>
      <c r="H586" s="111" t="s">
        <v>835</v>
      </c>
      <c r="I586" s="111" t="s">
        <v>2268</v>
      </c>
      <c r="J586" s="111" t="s">
        <v>834</v>
      </c>
    </row>
    <row r="587" ht="18.75" hidden="1" customHeight="1">
      <c r="A587" s="111" t="s">
        <v>1590</v>
      </c>
      <c r="B587" s="111" t="s">
        <v>2275</v>
      </c>
      <c r="C587" s="111" t="s">
        <v>2276</v>
      </c>
      <c r="D587" s="111" t="s">
        <v>1593</v>
      </c>
      <c r="E587" s="111" t="s">
        <v>1594</v>
      </c>
      <c r="F587" s="112">
        <v>300.0</v>
      </c>
      <c r="G587" s="111" t="s">
        <v>2269</v>
      </c>
      <c r="H587" s="111" t="s">
        <v>334</v>
      </c>
      <c r="I587" s="111" t="s">
        <v>2270</v>
      </c>
      <c r="J587" s="111" t="s">
        <v>865</v>
      </c>
    </row>
    <row r="588" ht="18.75" hidden="1" customHeight="1">
      <c r="A588" s="111" t="s">
        <v>1590</v>
      </c>
      <c r="B588" s="111" t="s">
        <v>2275</v>
      </c>
      <c r="C588" s="111" t="s">
        <v>2276</v>
      </c>
      <c r="D588" s="111" t="s">
        <v>1593</v>
      </c>
      <c r="E588" s="111" t="s">
        <v>1594</v>
      </c>
      <c r="F588" s="112">
        <v>300.0</v>
      </c>
      <c r="G588" s="111" t="s">
        <v>2271</v>
      </c>
      <c r="H588" s="111" t="s">
        <v>327</v>
      </c>
      <c r="I588" s="111" t="s">
        <v>2272</v>
      </c>
      <c r="J588" s="111" t="s">
        <v>1269</v>
      </c>
    </row>
    <row r="589" ht="18.75" hidden="1" customHeight="1">
      <c r="A589" s="111" t="s">
        <v>1590</v>
      </c>
      <c r="B589" s="111" t="s">
        <v>2275</v>
      </c>
      <c r="C589" s="111" t="s">
        <v>2276</v>
      </c>
      <c r="D589" s="111" t="s">
        <v>1593</v>
      </c>
      <c r="E589" s="111" t="s">
        <v>1594</v>
      </c>
      <c r="F589" s="112">
        <v>300.0</v>
      </c>
      <c r="G589" s="111" t="s">
        <v>2273</v>
      </c>
      <c r="H589" s="111" t="s">
        <v>231</v>
      </c>
      <c r="I589" s="111" t="s">
        <v>2274</v>
      </c>
      <c r="J589" s="111" t="s">
        <v>1182</v>
      </c>
    </row>
    <row r="590" ht="18.75" hidden="1" customHeight="1">
      <c r="A590" s="111" t="s">
        <v>1590</v>
      </c>
      <c r="B590" s="111" t="s">
        <v>2281</v>
      </c>
      <c r="C590" s="111" t="s">
        <v>2282</v>
      </c>
      <c r="D590" s="111" t="s">
        <v>1593</v>
      </c>
      <c r="E590" s="111" t="s">
        <v>1594</v>
      </c>
      <c r="F590" s="112">
        <v>300.0</v>
      </c>
      <c r="G590" s="111" t="s">
        <v>1622</v>
      </c>
      <c r="H590" s="111" t="s">
        <v>1241</v>
      </c>
      <c r="I590" s="111" t="s">
        <v>1623</v>
      </c>
      <c r="J590" s="111" t="s">
        <v>1244</v>
      </c>
    </row>
    <row r="591" ht="18.75" hidden="1" customHeight="1">
      <c r="A591" s="111" t="s">
        <v>1590</v>
      </c>
      <c r="B591" s="111" t="s">
        <v>2281</v>
      </c>
      <c r="C591" s="111" t="s">
        <v>2282</v>
      </c>
      <c r="D591" s="111" t="s">
        <v>1593</v>
      </c>
      <c r="E591" s="111" t="s">
        <v>1594</v>
      </c>
      <c r="F591" s="112">
        <v>300.0</v>
      </c>
      <c r="G591" s="111" t="s">
        <v>1624</v>
      </c>
      <c r="H591" s="111" t="s">
        <v>1377</v>
      </c>
      <c r="I591" s="111" t="s">
        <v>1625</v>
      </c>
      <c r="J591" s="111" t="s">
        <v>1376</v>
      </c>
    </row>
    <row r="592" ht="18.75" hidden="1" customHeight="1">
      <c r="A592" s="111" t="s">
        <v>1590</v>
      </c>
      <c r="B592" s="111" t="s">
        <v>2281</v>
      </c>
      <c r="C592" s="111" t="s">
        <v>2282</v>
      </c>
      <c r="D592" s="111" t="s">
        <v>1593</v>
      </c>
      <c r="E592" s="111" t="s">
        <v>1594</v>
      </c>
      <c r="F592" s="112">
        <v>300.0</v>
      </c>
      <c r="G592" s="111" t="s">
        <v>1627</v>
      </c>
      <c r="H592" s="111" t="s">
        <v>506</v>
      </c>
      <c r="I592" s="111" t="s">
        <v>1628</v>
      </c>
      <c r="J592" s="111" t="s">
        <v>508</v>
      </c>
    </row>
    <row r="593" ht="18.75" hidden="1" customHeight="1">
      <c r="A593" s="111" t="s">
        <v>1590</v>
      </c>
      <c r="B593" s="111" t="s">
        <v>2281</v>
      </c>
      <c r="C593" s="111" t="s">
        <v>2282</v>
      </c>
      <c r="D593" s="111" t="s">
        <v>1593</v>
      </c>
      <c r="E593" s="111" t="s">
        <v>1594</v>
      </c>
      <c r="F593" s="112">
        <v>300.0</v>
      </c>
      <c r="G593" s="111" t="s">
        <v>1629</v>
      </c>
      <c r="H593" s="111" t="s">
        <v>1434</v>
      </c>
      <c r="I593" s="111" t="s">
        <v>1630</v>
      </c>
      <c r="J593" s="111" t="s">
        <v>1433</v>
      </c>
    </row>
    <row r="594" ht="18.75" hidden="1" customHeight="1">
      <c r="A594" s="111" t="s">
        <v>1590</v>
      </c>
      <c r="B594" s="111" t="s">
        <v>2281</v>
      </c>
      <c r="C594" s="111" t="s">
        <v>2282</v>
      </c>
      <c r="D594" s="111" t="s">
        <v>1593</v>
      </c>
      <c r="E594" s="111" t="s">
        <v>1594</v>
      </c>
      <c r="F594" s="112">
        <v>300.0</v>
      </c>
      <c r="G594" s="111" t="s">
        <v>1631</v>
      </c>
      <c r="H594" s="111" t="s">
        <v>161</v>
      </c>
      <c r="I594" s="111" t="s">
        <v>1633</v>
      </c>
      <c r="J594" s="111" t="s">
        <v>1122</v>
      </c>
    </row>
    <row r="595" ht="18.75" hidden="1" customHeight="1">
      <c r="A595" s="111" t="s">
        <v>1590</v>
      </c>
      <c r="B595" s="111" t="s">
        <v>2281</v>
      </c>
      <c r="C595" s="111" t="s">
        <v>2282</v>
      </c>
      <c r="D595" s="111" t="s">
        <v>1593</v>
      </c>
      <c r="E595" s="111" t="s">
        <v>1594</v>
      </c>
      <c r="F595" s="112">
        <v>300.0</v>
      </c>
      <c r="G595" s="111" t="s">
        <v>1634</v>
      </c>
      <c r="H595" s="111" t="s">
        <v>214</v>
      </c>
      <c r="I595" s="111" t="s">
        <v>1635</v>
      </c>
      <c r="J595" s="111" t="s">
        <v>1009</v>
      </c>
    </row>
    <row r="596" ht="18.75" hidden="1" customHeight="1">
      <c r="A596" s="111" t="s">
        <v>1590</v>
      </c>
      <c r="B596" s="111" t="s">
        <v>2281</v>
      </c>
      <c r="C596" s="111" t="s">
        <v>2282</v>
      </c>
      <c r="D596" s="111" t="s">
        <v>1593</v>
      </c>
      <c r="E596" s="111" t="s">
        <v>1594</v>
      </c>
      <c r="F596" s="112">
        <v>300.0</v>
      </c>
      <c r="G596" s="111" t="s">
        <v>1636</v>
      </c>
      <c r="H596" s="111" t="s">
        <v>351</v>
      </c>
      <c r="I596" s="111" t="s">
        <v>1637</v>
      </c>
      <c r="J596" s="111" t="s">
        <v>350</v>
      </c>
    </row>
    <row r="597" ht="18.75" hidden="1" customHeight="1">
      <c r="A597" s="111" t="s">
        <v>1590</v>
      </c>
      <c r="B597" s="111" t="s">
        <v>2281</v>
      </c>
      <c r="C597" s="111" t="s">
        <v>2282</v>
      </c>
      <c r="D597" s="111" t="s">
        <v>1593</v>
      </c>
      <c r="E597" s="111" t="s">
        <v>1594</v>
      </c>
      <c r="F597" s="112">
        <v>300.0</v>
      </c>
      <c r="G597" s="111" t="s">
        <v>1639</v>
      </c>
      <c r="H597" s="111" t="s">
        <v>212</v>
      </c>
      <c r="I597" s="111" t="s">
        <v>1640</v>
      </c>
      <c r="J597" s="111" t="s">
        <v>1069</v>
      </c>
    </row>
    <row r="598" ht="18.75" hidden="1" customHeight="1">
      <c r="A598" s="111" t="s">
        <v>1590</v>
      </c>
      <c r="B598" s="111" t="s">
        <v>2281</v>
      </c>
      <c r="C598" s="111" t="s">
        <v>2282</v>
      </c>
      <c r="D598" s="111" t="s">
        <v>1593</v>
      </c>
      <c r="E598" s="111" t="s">
        <v>1594</v>
      </c>
      <c r="F598" s="112">
        <v>300.0</v>
      </c>
      <c r="G598" s="111" t="s">
        <v>1641</v>
      </c>
      <c r="H598" s="111" t="s">
        <v>96</v>
      </c>
      <c r="I598" s="111" t="s">
        <v>1642</v>
      </c>
      <c r="J598" s="111" t="s">
        <v>885</v>
      </c>
    </row>
    <row r="599" ht="18.75" hidden="1" customHeight="1">
      <c r="A599" s="111" t="s">
        <v>1590</v>
      </c>
      <c r="B599" s="111" t="s">
        <v>2281</v>
      </c>
      <c r="C599" s="111" t="s">
        <v>2282</v>
      </c>
      <c r="D599" s="111" t="s">
        <v>1593</v>
      </c>
      <c r="E599" s="111" t="s">
        <v>1594</v>
      </c>
      <c r="F599" s="112">
        <v>300.0</v>
      </c>
      <c r="G599" s="111" t="s">
        <v>1644</v>
      </c>
      <c r="H599" s="111" t="s">
        <v>605</v>
      </c>
      <c r="I599" s="111" t="s">
        <v>1645</v>
      </c>
      <c r="J599" s="111" t="s">
        <v>608</v>
      </c>
    </row>
    <row r="600" ht="18.75" hidden="1" customHeight="1">
      <c r="A600" s="111" t="s">
        <v>1590</v>
      </c>
      <c r="B600" s="111" t="s">
        <v>2281</v>
      </c>
      <c r="C600" s="111" t="s">
        <v>2282</v>
      </c>
      <c r="D600" s="111" t="s">
        <v>1593</v>
      </c>
      <c r="E600" s="111" t="s">
        <v>1594</v>
      </c>
      <c r="F600" s="112">
        <v>300.0</v>
      </c>
      <c r="G600" s="111" t="s">
        <v>1647</v>
      </c>
      <c r="H600" s="111" t="s">
        <v>1231</v>
      </c>
      <c r="I600" s="111" t="s">
        <v>1648</v>
      </c>
      <c r="J600" s="111" t="s">
        <v>1233</v>
      </c>
    </row>
    <row r="601" ht="18.75" hidden="1" customHeight="1">
      <c r="A601" s="111" t="s">
        <v>1590</v>
      </c>
      <c r="B601" s="111" t="s">
        <v>2281</v>
      </c>
      <c r="C601" s="111" t="s">
        <v>2282</v>
      </c>
      <c r="D601" s="111" t="s">
        <v>1593</v>
      </c>
      <c r="E601" s="111" t="s">
        <v>1594</v>
      </c>
      <c r="F601" s="112">
        <v>300.0</v>
      </c>
      <c r="G601" s="111" t="s">
        <v>1650</v>
      </c>
      <c r="H601" s="111" t="s">
        <v>402</v>
      </c>
      <c r="I601" s="111" t="s">
        <v>1651</v>
      </c>
      <c r="J601" s="111" t="s">
        <v>1652</v>
      </c>
    </row>
    <row r="602" ht="18.75" hidden="1" customHeight="1">
      <c r="A602" s="111" t="s">
        <v>1590</v>
      </c>
      <c r="B602" s="111" t="s">
        <v>2281</v>
      </c>
      <c r="C602" s="111" t="s">
        <v>2282</v>
      </c>
      <c r="D602" s="111" t="s">
        <v>1593</v>
      </c>
      <c r="E602" s="111" t="s">
        <v>1594</v>
      </c>
      <c r="F602" s="112">
        <v>300.0</v>
      </c>
      <c r="G602" s="111" t="s">
        <v>1654</v>
      </c>
      <c r="H602" s="111" t="s">
        <v>491</v>
      </c>
      <c r="I602" s="111" t="s">
        <v>1655</v>
      </c>
      <c r="J602" s="111" t="s">
        <v>490</v>
      </c>
    </row>
    <row r="603" ht="18.75" hidden="1" customHeight="1">
      <c r="A603" s="111" t="s">
        <v>1590</v>
      </c>
      <c r="B603" s="111" t="s">
        <v>2281</v>
      </c>
      <c r="C603" s="111" t="s">
        <v>2282</v>
      </c>
      <c r="D603" s="111" t="s">
        <v>1593</v>
      </c>
      <c r="E603" s="111" t="s">
        <v>1594</v>
      </c>
      <c r="F603" s="112">
        <v>300.0</v>
      </c>
      <c r="G603" s="111" t="s">
        <v>1656</v>
      </c>
      <c r="H603" s="111" t="s">
        <v>425</v>
      </c>
      <c r="I603" s="111" t="s">
        <v>1657</v>
      </c>
      <c r="J603" s="111" t="s">
        <v>424</v>
      </c>
    </row>
    <row r="604" ht="18.75" hidden="1" customHeight="1">
      <c r="A604" s="111" t="s">
        <v>1590</v>
      </c>
      <c r="B604" s="111" t="s">
        <v>2281</v>
      </c>
      <c r="C604" s="111" t="s">
        <v>2282</v>
      </c>
      <c r="D604" s="111" t="s">
        <v>1593</v>
      </c>
      <c r="E604" s="111" t="s">
        <v>1594</v>
      </c>
      <c r="F604" s="112">
        <v>300.0</v>
      </c>
      <c r="G604" s="111" t="s">
        <v>1659</v>
      </c>
      <c r="H604" s="111" t="s">
        <v>101</v>
      </c>
      <c r="I604" s="111" t="s">
        <v>1660</v>
      </c>
      <c r="J604" s="111" t="s">
        <v>1250</v>
      </c>
    </row>
    <row r="605" ht="18.75" hidden="1" customHeight="1">
      <c r="A605" s="111" t="s">
        <v>1590</v>
      </c>
      <c r="B605" s="111" t="s">
        <v>2281</v>
      </c>
      <c r="C605" s="111" t="s">
        <v>2282</v>
      </c>
      <c r="D605" s="111" t="s">
        <v>1593</v>
      </c>
      <c r="E605" s="111" t="s">
        <v>1594</v>
      </c>
      <c r="F605" s="112">
        <v>300.0</v>
      </c>
      <c r="G605" s="111" t="s">
        <v>1662</v>
      </c>
      <c r="H605" s="111" t="s">
        <v>652</v>
      </c>
      <c r="I605" s="111" t="s">
        <v>1663</v>
      </c>
      <c r="J605" s="111" t="s">
        <v>656</v>
      </c>
    </row>
    <row r="606" ht="18.75" hidden="1" customHeight="1">
      <c r="A606" s="111" t="s">
        <v>1590</v>
      </c>
      <c r="B606" s="111" t="s">
        <v>2281</v>
      </c>
      <c r="C606" s="111" t="s">
        <v>2282</v>
      </c>
      <c r="D606" s="111" t="s">
        <v>1593</v>
      </c>
      <c r="E606" s="111" t="s">
        <v>1594</v>
      </c>
      <c r="F606" s="112">
        <v>300.0</v>
      </c>
      <c r="G606" s="111" t="s">
        <v>1664</v>
      </c>
      <c r="H606" s="111" t="s">
        <v>65</v>
      </c>
      <c r="I606" s="111" t="s">
        <v>1665</v>
      </c>
      <c r="J606" s="111" t="s">
        <v>62</v>
      </c>
    </row>
    <row r="607" ht="18.75" hidden="1" customHeight="1">
      <c r="A607" s="111" t="s">
        <v>1590</v>
      </c>
      <c r="B607" s="111" t="s">
        <v>2281</v>
      </c>
      <c r="C607" s="111" t="s">
        <v>2282</v>
      </c>
      <c r="D607" s="111" t="s">
        <v>1593</v>
      </c>
      <c r="E607" s="111" t="s">
        <v>1594</v>
      </c>
      <c r="F607" s="112">
        <v>300.0</v>
      </c>
      <c r="G607" s="111" t="s">
        <v>1667</v>
      </c>
      <c r="H607" s="111" t="s">
        <v>285</v>
      </c>
      <c r="I607" s="111" t="s">
        <v>1668</v>
      </c>
      <c r="J607" s="111" t="s">
        <v>716</v>
      </c>
    </row>
    <row r="608" ht="18.75" hidden="1" customHeight="1">
      <c r="A608" s="111" t="s">
        <v>1590</v>
      </c>
      <c r="B608" s="111" t="s">
        <v>2281</v>
      </c>
      <c r="C608" s="111" t="s">
        <v>2282</v>
      </c>
      <c r="D608" s="111" t="s">
        <v>1593</v>
      </c>
      <c r="E608" s="111" t="s">
        <v>1594</v>
      </c>
      <c r="F608" s="112">
        <v>300.0</v>
      </c>
      <c r="G608" s="111" t="s">
        <v>1669</v>
      </c>
      <c r="H608" s="111" t="s">
        <v>1402</v>
      </c>
      <c r="I608" s="111" t="s">
        <v>1670</v>
      </c>
      <c r="J608" s="111" t="s">
        <v>1408</v>
      </c>
    </row>
    <row r="609" ht="18.75" hidden="1" customHeight="1">
      <c r="A609" s="111" t="s">
        <v>1590</v>
      </c>
      <c r="B609" s="111" t="s">
        <v>2281</v>
      </c>
      <c r="C609" s="111" t="s">
        <v>2282</v>
      </c>
      <c r="D609" s="111" t="s">
        <v>1593</v>
      </c>
      <c r="E609" s="111" t="s">
        <v>1594</v>
      </c>
      <c r="F609" s="112">
        <v>300.0</v>
      </c>
      <c r="G609" s="111" t="s">
        <v>1672</v>
      </c>
      <c r="H609" s="111" t="s">
        <v>149</v>
      </c>
      <c r="I609" s="111" t="s">
        <v>1673</v>
      </c>
      <c r="J609" s="111" t="s">
        <v>756</v>
      </c>
    </row>
    <row r="610" ht="18.75" hidden="1" customHeight="1">
      <c r="A610" s="111" t="s">
        <v>1590</v>
      </c>
      <c r="B610" s="111" t="s">
        <v>2281</v>
      </c>
      <c r="C610" s="111" t="s">
        <v>2282</v>
      </c>
      <c r="D610" s="111" t="s">
        <v>1593</v>
      </c>
      <c r="E610" s="111" t="s">
        <v>1594</v>
      </c>
      <c r="F610" s="112">
        <v>300.0</v>
      </c>
      <c r="G610" s="111" t="s">
        <v>1674</v>
      </c>
      <c r="H610" s="111" t="s">
        <v>934</v>
      </c>
      <c r="I610" s="111" t="s">
        <v>1676</v>
      </c>
      <c r="J610" s="111" t="s">
        <v>933</v>
      </c>
    </row>
    <row r="611" ht="18.75" hidden="1" customHeight="1">
      <c r="A611" s="111" t="s">
        <v>1590</v>
      </c>
      <c r="B611" s="111" t="s">
        <v>2281</v>
      </c>
      <c r="C611" s="111" t="s">
        <v>2282</v>
      </c>
      <c r="D611" s="111" t="s">
        <v>1593</v>
      </c>
      <c r="E611" s="111" t="s">
        <v>1594</v>
      </c>
      <c r="F611" s="112">
        <v>300.0</v>
      </c>
      <c r="G611" s="111" t="s">
        <v>1677</v>
      </c>
      <c r="H611" s="111" t="s">
        <v>1678</v>
      </c>
      <c r="I611" s="111" t="s">
        <v>1679</v>
      </c>
      <c r="J611" s="111" t="s">
        <v>1543</v>
      </c>
    </row>
    <row r="612" ht="18.75" hidden="1" customHeight="1">
      <c r="A612" s="111" t="s">
        <v>1590</v>
      </c>
      <c r="B612" s="111" t="s">
        <v>2281</v>
      </c>
      <c r="C612" s="111" t="s">
        <v>2282</v>
      </c>
      <c r="D612" s="111" t="s">
        <v>1593</v>
      </c>
      <c r="E612" s="111" t="s">
        <v>1594</v>
      </c>
      <c r="F612" s="112">
        <v>300.0</v>
      </c>
      <c r="G612" s="111" t="s">
        <v>1680</v>
      </c>
      <c r="H612" s="111" t="s">
        <v>309</v>
      </c>
      <c r="I612" s="111" t="s">
        <v>1681</v>
      </c>
      <c r="J612" s="111" t="s">
        <v>1217</v>
      </c>
    </row>
    <row r="613" ht="18.75" hidden="1" customHeight="1">
      <c r="A613" s="111" t="s">
        <v>1590</v>
      </c>
      <c r="B613" s="111" t="s">
        <v>2281</v>
      </c>
      <c r="C613" s="111" t="s">
        <v>2282</v>
      </c>
      <c r="D613" s="111" t="s">
        <v>1593</v>
      </c>
      <c r="E613" s="111" t="s">
        <v>1594</v>
      </c>
      <c r="F613" s="112">
        <v>300.0</v>
      </c>
      <c r="G613" s="111" t="s">
        <v>1683</v>
      </c>
      <c r="H613" s="111" t="s">
        <v>615</v>
      </c>
      <c r="I613" s="111" t="s">
        <v>1684</v>
      </c>
      <c r="J613" s="111" t="s">
        <v>617</v>
      </c>
    </row>
    <row r="614" ht="18.75" hidden="1" customHeight="1">
      <c r="A614" s="111" t="s">
        <v>1590</v>
      </c>
      <c r="B614" s="111" t="s">
        <v>2281</v>
      </c>
      <c r="C614" s="111" t="s">
        <v>2282</v>
      </c>
      <c r="D614" s="111" t="s">
        <v>1593</v>
      </c>
      <c r="E614" s="111" t="s">
        <v>1594</v>
      </c>
      <c r="F614" s="112">
        <v>300.0</v>
      </c>
      <c r="G614" s="111" t="s">
        <v>1685</v>
      </c>
      <c r="H614" s="111" t="s">
        <v>157</v>
      </c>
      <c r="I614" s="111" t="s">
        <v>1686</v>
      </c>
      <c r="J614" s="111" t="s">
        <v>750</v>
      </c>
    </row>
    <row r="615" ht="18.75" hidden="1" customHeight="1">
      <c r="A615" s="111" t="s">
        <v>1590</v>
      </c>
      <c r="B615" s="111" t="s">
        <v>2281</v>
      </c>
      <c r="C615" s="111" t="s">
        <v>2282</v>
      </c>
      <c r="D615" s="111" t="s">
        <v>1593</v>
      </c>
      <c r="E615" s="111" t="s">
        <v>1594</v>
      </c>
      <c r="F615" s="112">
        <v>300.0</v>
      </c>
      <c r="G615" s="111" t="s">
        <v>1688</v>
      </c>
      <c r="H615" s="111" t="s">
        <v>639</v>
      </c>
      <c r="I615" s="111" t="s">
        <v>1689</v>
      </c>
      <c r="J615" s="111" t="s">
        <v>641</v>
      </c>
    </row>
    <row r="616" ht="18.75" hidden="1" customHeight="1">
      <c r="A616" s="111" t="s">
        <v>1590</v>
      </c>
      <c r="B616" s="111" t="s">
        <v>2281</v>
      </c>
      <c r="C616" s="111" t="s">
        <v>2282</v>
      </c>
      <c r="D616" s="111" t="s">
        <v>1593</v>
      </c>
      <c r="E616" s="111" t="s">
        <v>1594</v>
      </c>
      <c r="F616" s="112">
        <v>300.0</v>
      </c>
      <c r="G616" s="111" t="s">
        <v>1690</v>
      </c>
      <c r="H616" s="111" t="s">
        <v>664</v>
      </c>
      <c r="I616" s="111" t="s">
        <v>1691</v>
      </c>
      <c r="J616" s="111" t="s">
        <v>666</v>
      </c>
    </row>
    <row r="617" ht="18.75" hidden="1" customHeight="1">
      <c r="A617" s="111" t="s">
        <v>1590</v>
      </c>
      <c r="B617" s="111" t="s">
        <v>2281</v>
      </c>
      <c r="C617" s="111" t="s">
        <v>2282</v>
      </c>
      <c r="D617" s="111" t="s">
        <v>1593</v>
      </c>
      <c r="E617" s="111" t="s">
        <v>1594</v>
      </c>
      <c r="F617" s="112">
        <v>300.0</v>
      </c>
      <c r="G617" s="111" t="s">
        <v>1692</v>
      </c>
      <c r="H617" s="111" t="s">
        <v>1143</v>
      </c>
      <c r="I617" s="111" t="s">
        <v>1693</v>
      </c>
      <c r="J617" s="111" t="s">
        <v>1142</v>
      </c>
    </row>
    <row r="618" ht="18.75" hidden="1" customHeight="1">
      <c r="A618" s="111" t="s">
        <v>1590</v>
      </c>
      <c r="B618" s="111" t="s">
        <v>2281</v>
      </c>
      <c r="C618" s="111" t="s">
        <v>2282</v>
      </c>
      <c r="D618" s="111" t="s">
        <v>1593</v>
      </c>
      <c r="E618" s="111" t="s">
        <v>1594</v>
      </c>
      <c r="F618" s="112">
        <v>300.0</v>
      </c>
      <c r="G618" s="111" t="s">
        <v>1695</v>
      </c>
      <c r="H618" s="111" t="s">
        <v>358</v>
      </c>
      <c r="I618" s="111" t="s">
        <v>1696</v>
      </c>
      <c r="J618" s="111" t="s">
        <v>683</v>
      </c>
    </row>
    <row r="619" ht="18.75" hidden="1" customHeight="1">
      <c r="A619" s="111" t="s">
        <v>1590</v>
      </c>
      <c r="B619" s="111" t="s">
        <v>2281</v>
      </c>
      <c r="C619" s="111" t="s">
        <v>2282</v>
      </c>
      <c r="D619" s="111" t="s">
        <v>1593</v>
      </c>
      <c r="E619" s="111" t="s">
        <v>1594</v>
      </c>
      <c r="F619" s="112">
        <v>300.0</v>
      </c>
      <c r="G619" s="111" t="s">
        <v>1697</v>
      </c>
      <c r="H619" s="111" t="s">
        <v>125</v>
      </c>
      <c r="I619" s="111" t="s">
        <v>1698</v>
      </c>
      <c r="J619" s="111" t="s">
        <v>717</v>
      </c>
    </row>
    <row r="620" ht="18.75" hidden="1" customHeight="1">
      <c r="A620" s="111" t="s">
        <v>1590</v>
      </c>
      <c r="B620" s="111" t="s">
        <v>2281</v>
      </c>
      <c r="C620" s="111" t="s">
        <v>2282</v>
      </c>
      <c r="D620" s="111" t="s">
        <v>1593</v>
      </c>
      <c r="E620" s="111" t="s">
        <v>1594</v>
      </c>
      <c r="F620" s="112">
        <v>300.0</v>
      </c>
      <c r="G620" s="111" t="s">
        <v>1700</v>
      </c>
      <c r="H620" s="111" t="s">
        <v>1177</v>
      </c>
      <c r="I620" s="111" t="s">
        <v>1701</v>
      </c>
      <c r="J620" s="111" t="s">
        <v>1179</v>
      </c>
    </row>
    <row r="621" ht="18.75" hidden="1" customHeight="1">
      <c r="A621" s="111" t="s">
        <v>1590</v>
      </c>
      <c r="B621" s="111" t="s">
        <v>2281</v>
      </c>
      <c r="C621" s="111" t="s">
        <v>2282</v>
      </c>
      <c r="D621" s="111" t="s">
        <v>1593</v>
      </c>
      <c r="E621" s="111" t="s">
        <v>1594</v>
      </c>
      <c r="F621" s="112">
        <v>300.0</v>
      </c>
      <c r="G621" s="111" t="s">
        <v>1702</v>
      </c>
      <c r="H621" s="111" t="s">
        <v>372</v>
      </c>
      <c r="I621" s="111" t="s">
        <v>1703</v>
      </c>
      <c r="J621" s="111" t="s">
        <v>1013</v>
      </c>
    </row>
    <row r="622" ht="18.75" hidden="1" customHeight="1">
      <c r="A622" s="111" t="s">
        <v>1590</v>
      </c>
      <c r="B622" s="111" t="s">
        <v>2281</v>
      </c>
      <c r="C622" s="111" t="s">
        <v>2282</v>
      </c>
      <c r="D622" s="111" t="s">
        <v>1593</v>
      </c>
      <c r="E622" s="111" t="s">
        <v>1594</v>
      </c>
      <c r="F622" s="112">
        <v>300.0</v>
      </c>
      <c r="G622" s="111" t="s">
        <v>1705</v>
      </c>
      <c r="H622" s="111" t="s">
        <v>1164</v>
      </c>
      <c r="I622" s="111" t="s">
        <v>1706</v>
      </c>
      <c r="J622" s="111" t="s">
        <v>1170</v>
      </c>
    </row>
    <row r="623" ht="18.75" hidden="1" customHeight="1">
      <c r="A623" s="111" t="s">
        <v>1590</v>
      </c>
      <c r="B623" s="111" t="s">
        <v>2281</v>
      </c>
      <c r="C623" s="111" t="s">
        <v>2282</v>
      </c>
      <c r="D623" s="111" t="s">
        <v>1593</v>
      </c>
      <c r="E623" s="111" t="s">
        <v>1594</v>
      </c>
      <c r="F623" s="112">
        <v>300.0</v>
      </c>
      <c r="G623" s="111" t="s">
        <v>1707</v>
      </c>
      <c r="H623" s="111" t="s">
        <v>342</v>
      </c>
      <c r="I623" s="111" t="s">
        <v>1708</v>
      </c>
      <c r="J623" s="111" t="s">
        <v>1310</v>
      </c>
    </row>
    <row r="624" ht="18.75" hidden="1" customHeight="1">
      <c r="A624" s="111" t="s">
        <v>1590</v>
      </c>
      <c r="B624" s="111" t="s">
        <v>2281</v>
      </c>
      <c r="C624" s="111" t="s">
        <v>2282</v>
      </c>
      <c r="D624" s="111" t="s">
        <v>1593</v>
      </c>
      <c r="E624" s="111" t="s">
        <v>1594</v>
      </c>
      <c r="F624" s="112">
        <v>300.0</v>
      </c>
      <c r="G624" s="111" t="s">
        <v>1709</v>
      </c>
      <c r="H624" s="111" t="s">
        <v>390</v>
      </c>
      <c r="I624" s="111" t="s">
        <v>1710</v>
      </c>
      <c r="J624" s="111" t="s">
        <v>1518</v>
      </c>
    </row>
    <row r="625" ht="18.75" hidden="1" customHeight="1">
      <c r="A625" s="111" t="s">
        <v>1590</v>
      </c>
      <c r="B625" s="111" t="s">
        <v>2281</v>
      </c>
      <c r="C625" s="111" t="s">
        <v>2282</v>
      </c>
      <c r="D625" s="111" t="s">
        <v>1593</v>
      </c>
      <c r="E625" s="111" t="s">
        <v>1594</v>
      </c>
      <c r="F625" s="112">
        <v>300.0</v>
      </c>
      <c r="G625" s="111" t="s">
        <v>1712</v>
      </c>
      <c r="H625" s="111" t="s">
        <v>649</v>
      </c>
      <c r="I625" s="111" t="s">
        <v>1713</v>
      </c>
      <c r="J625" s="111" t="s">
        <v>651</v>
      </c>
    </row>
    <row r="626" ht="18.75" hidden="1" customHeight="1">
      <c r="A626" s="111" t="s">
        <v>1590</v>
      </c>
      <c r="B626" s="111" t="s">
        <v>2281</v>
      </c>
      <c r="C626" s="111" t="s">
        <v>2282</v>
      </c>
      <c r="D626" s="111" t="s">
        <v>1593</v>
      </c>
      <c r="E626" s="111" t="s">
        <v>1594</v>
      </c>
      <c r="F626" s="112">
        <v>300.0</v>
      </c>
      <c r="G626" s="111" t="s">
        <v>1714</v>
      </c>
      <c r="H626" s="111" t="s">
        <v>1511</v>
      </c>
      <c r="I626" s="111" t="s">
        <v>1715</v>
      </c>
      <c r="J626" s="111" t="s">
        <v>1513</v>
      </c>
    </row>
    <row r="627" ht="18.75" hidden="1" customHeight="1">
      <c r="A627" s="111" t="s">
        <v>1590</v>
      </c>
      <c r="B627" s="111" t="s">
        <v>2281</v>
      </c>
      <c r="C627" s="111" t="s">
        <v>2282</v>
      </c>
      <c r="D627" s="111" t="s">
        <v>1593</v>
      </c>
      <c r="E627" s="111" t="s">
        <v>1594</v>
      </c>
      <c r="F627" s="112">
        <v>300.0</v>
      </c>
      <c r="G627" s="111" t="s">
        <v>1716</v>
      </c>
      <c r="H627" s="111" t="s">
        <v>1316</v>
      </c>
      <c r="I627" s="111" t="s">
        <v>1717</v>
      </c>
      <c r="J627" s="111" t="s">
        <v>1315</v>
      </c>
    </row>
    <row r="628" ht="18.75" hidden="1" customHeight="1">
      <c r="A628" s="111" t="s">
        <v>1590</v>
      </c>
      <c r="B628" s="111" t="s">
        <v>2281</v>
      </c>
      <c r="C628" s="111" t="s">
        <v>2282</v>
      </c>
      <c r="D628" s="111" t="s">
        <v>1593</v>
      </c>
      <c r="E628" s="111" t="s">
        <v>1594</v>
      </c>
      <c r="F628" s="112">
        <v>300.0</v>
      </c>
      <c r="G628" s="111" t="s">
        <v>1719</v>
      </c>
      <c r="H628" s="111" t="s">
        <v>158</v>
      </c>
      <c r="I628" s="111" t="s">
        <v>1720</v>
      </c>
      <c r="J628" s="111" t="s">
        <v>1388</v>
      </c>
    </row>
    <row r="629" ht="18.75" hidden="1" customHeight="1">
      <c r="A629" s="111" t="s">
        <v>1590</v>
      </c>
      <c r="B629" s="111" t="s">
        <v>2281</v>
      </c>
      <c r="C629" s="111" t="s">
        <v>2282</v>
      </c>
      <c r="D629" s="111" t="s">
        <v>1593</v>
      </c>
      <c r="E629" s="111" t="s">
        <v>1594</v>
      </c>
      <c r="F629" s="112">
        <v>300.0</v>
      </c>
      <c r="G629" s="111" t="s">
        <v>1721</v>
      </c>
      <c r="H629" s="111" t="s">
        <v>778</v>
      </c>
      <c r="I629" s="111" t="s">
        <v>1722</v>
      </c>
      <c r="J629" s="111" t="s">
        <v>786</v>
      </c>
    </row>
    <row r="630" ht="18.75" hidden="1" customHeight="1">
      <c r="A630" s="111" t="s">
        <v>1590</v>
      </c>
      <c r="B630" s="111" t="s">
        <v>2281</v>
      </c>
      <c r="C630" s="111" t="s">
        <v>2282</v>
      </c>
      <c r="D630" s="111" t="s">
        <v>1593</v>
      </c>
      <c r="E630" s="111" t="s">
        <v>1594</v>
      </c>
      <c r="F630" s="112">
        <v>300.0</v>
      </c>
      <c r="G630" s="111" t="s">
        <v>1723</v>
      </c>
      <c r="H630" s="111" t="s">
        <v>262</v>
      </c>
      <c r="I630" s="111" t="s">
        <v>1725</v>
      </c>
      <c r="J630" s="111" t="s">
        <v>696</v>
      </c>
    </row>
    <row r="631" ht="18.75" hidden="1" customHeight="1">
      <c r="A631" s="111" t="s">
        <v>1590</v>
      </c>
      <c r="B631" s="111" t="s">
        <v>2281</v>
      </c>
      <c r="C631" s="111" t="s">
        <v>2282</v>
      </c>
      <c r="D631" s="111" t="s">
        <v>1593</v>
      </c>
      <c r="E631" s="111" t="s">
        <v>1594</v>
      </c>
      <c r="F631" s="112">
        <v>300.0</v>
      </c>
      <c r="G631" s="111" t="s">
        <v>1596</v>
      </c>
      <c r="H631" s="111" t="s">
        <v>1597</v>
      </c>
      <c r="I631" s="111" t="s">
        <v>1598</v>
      </c>
      <c r="J631" s="111" t="s">
        <v>1599</v>
      </c>
    </row>
    <row r="632" ht="18.75" hidden="1" customHeight="1">
      <c r="A632" s="111" t="s">
        <v>1590</v>
      </c>
      <c r="B632" s="111" t="s">
        <v>2281</v>
      </c>
      <c r="C632" s="111" t="s">
        <v>2282</v>
      </c>
      <c r="D632" s="111" t="s">
        <v>1593</v>
      </c>
      <c r="E632" s="111" t="s">
        <v>1594</v>
      </c>
      <c r="F632" s="112">
        <v>300.0</v>
      </c>
      <c r="G632" s="111" t="s">
        <v>1726</v>
      </c>
      <c r="H632" s="111" t="s">
        <v>254</v>
      </c>
      <c r="I632" s="111" t="s">
        <v>1727</v>
      </c>
      <c r="J632" s="111" t="s">
        <v>760</v>
      </c>
    </row>
    <row r="633" ht="18.75" hidden="1" customHeight="1">
      <c r="A633" s="111" t="s">
        <v>1590</v>
      </c>
      <c r="B633" s="111" t="s">
        <v>2281</v>
      </c>
      <c r="C633" s="111" t="s">
        <v>2282</v>
      </c>
      <c r="D633" s="111" t="s">
        <v>1593</v>
      </c>
      <c r="E633" s="111" t="s">
        <v>1594</v>
      </c>
      <c r="F633" s="112">
        <v>300.0</v>
      </c>
      <c r="G633" s="111" t="s">
        <v>1729</v>
      </c>
      <c r="H633" s="111" t="s">
        <v>263</v>
      </c>
      <c r="I633" s="111" t="s">
        <v>1730</v>
      </c>
      <c r="J633" s="111" t="s">
        <v>1265</v>
      </c>
    </row>
    <row r="634" ht="18.75" hidden="1" customHeight="1">
      <c r="A634" s="111" t="s">
        <v>1590</v>
      </c>
      <c r="B634" s="111" t="s">
        <v>2281</v>
      </c>
      <c r="C634" s="111" t="s">
        <v>2282</v>
      </c>
      <c r="D634" s="111" t="s">
        <v>1593</v>
      </c>
      <c r="E634" s="111" t="s">
        <v>1594</v>
      </c>
      <c r="F634" s="112">
        <v>300.0</v>
      </c>
      <c r="G634" s="111" t="s">
        <v>1731</v>
      </c>
      <c r="H634" s="111" t="s">
        <v>103</v>
      </c>
      <c r="I634" s="111" t="s">
        <v>1732</v>
      </c>
      <c r="J634" s="111" t="s">
        <v>1314</v>
      </c>
    </row>
    <row r="635" ht="18.75" hidden="1" customHeight="1">
      <c r="A635" s="111" t="s">
        <v>1590</v>
      </c>
      <c r="B635" s="111" t="s">
        <v>2281</v>
      </c>
      <c r="C635" s="111" t="s">
        <v>2282</v>
      </c>
      <c r="D635" s="111" t="s">
        <v>1593</v>
      </c>
      <c r="E635" s="111" t="s">
        <v>1594</v>
      </c>
      <c r="F635" s="112">
        <v>300.0</v>
      </c>
      <c r="G635" s="111" t="s">
        <v>1733</v>
      </c>
      <c r="H635" s="111" t="s">
        <v>1519</v>
      </c>
      <c r="I635" s="111" t="s">
        <v>1735</v>
      </c>
      <c r="J635" s="111" t="s">
        <v>1523</v>
      </c>
    </row>
    <row r="636" ht="18.75" hidden="1" customHeight="1">
      <c r="A636" s="111" t="s">
        <v>1590</v>
      </c>
      <c r="B636" s="111" t="s">
        <v>2281</v>
      </c>
      <c r="C636" s="111" t="s">
        <v>2282</v>
      </c>
      <c r="D636" s="111" t="s">
        <v>1593</v>
      </c>
      <c r="E636" s="111" t="s">
        <v>1594</v>
      </c>
      <c r="F636" s="112">
        <v>300.0</v>
      </c>
      <c r="G636" s="111" t="s">
        <v>1736</v>
      </c>
      <c r="H636" s="111" t="s">
        <v>568</v>
      </c>
      <c r="I636" s="111" t="s">
        <v>1737</v>
      </c>
      <c r="J636" s="111" t="s">
        <v>570</v>
      </c>
    </row>
    <row r="637" ht="18.75" hidden="1" customHeight="1">
      <c r="A637" s="111" t="s">
        <v>1590</v>
      </c>
      <c r="B637" s="111" t="s">
        <v>2281</v>
      </c>
      <c r="C637" s="111" t="s">
        <v>2282</v>
      </c>
      <c r="D637" s="111" t="s">
        <v>1593</v>
      </c>
      <c r="E637" s="111" t="s">
        <v>1594</v>
      </c>
      <c r="F637" s="112">
        <v>300.0</v>
      </c>
      <c r="G637" s="111" t="s">
        <v>1738</v>
      </c>
      <c r="H637" s="111" t="s">
        <v>1739</v>
      </c>
      <c r="I637" s="111" t="s">
        <v>1740</v>
      </c>
      <c r="J637" s="111" t="s">
        <v>675</v>
      </c>
    </row>
    <row r="638" ht="18.75" hidden="1" customHeight="1">
      <c r="A638" s="111" t="s">
        <v>1590</v>
      </c>
      <c r="B638" s="111" t="s">
        <v>2281</v>
      </c>
      <c r="C638" s="111" t="s">
        <v>2282</v>
      </c>
      <c r="D638" s="111" t="s">
        <v>1593</v>
      </c>
      <c r="E638" s="111" t="s">
        <v>1594</v>
      </c>
      <c r="F638" s="112">
        <v>300.0</v>
      </c>
      <c r="G638" s="111" t="s">
        <v>1742</v>
      </c>
      <c r="H638" s="111" t="s">
        <v>920</v>
      </c>
      <c r="I638" s="111" t="s">
        <v>1743</v>
      </c>
      <c r="J638" s="111" t="s">
        <v>928</v>
      </c>
    </row>
    <row r="639" ht="18.75" hidden="1" customHeight="1">
      <c r="A639" s="111" t="s">
        <v>1590</v>
      </c>
      <c r="B639" s="111" t="s">
        <v>2281</v>
      </c>
      <c r="C639" s="111" t="s">
        <v>2282</v>
      </c>
      <c r="D639" s="111" t="s">
        <v>1593</v>
      </c>
      <c r="E639" s="111" t="s">
        <v>1594</v>
      </c>
      <c r="F639" s="112">
        <v>300.0</v>
      </c>
      <c r="G639" s="111" t="s">
        <v>1745</v>
      </c>
      <c r="H639" s="111" t="s">
        <v>1302</v>
      </c>
      <c r="I639" s="111" t="s">
        <v>1746</v>
      </c>
      <c r="J639" s="111" t="s">
        <v>1304</v>
      </c>
    </row>
    <row r="640" ht="18.75" hidden="1" customHeight="1">
      <c r="A640" s="111" t="s">
        <v>1590</v>
      </c>
      <c r="B640" s="111" t="s">
        <v>2281</v>
      </c>
      <c r="C640" s="111" t="s">
        <v>2282</v>
      </c>
      <c r="D640" s="111" t="s">
        <v>1593</v>
      </c>
      <c r="E640" s="111" t="s">
        <v>1594</v>
      </c>
      <c r="F640" s="112">
        <v>300.0</v>
      </c>
      <c r="G640" s="111" t="s">
        <v>1747</v>
      </c>
      <c r="H640" s="111" t="s">
        <v>581</v>
      </c>
      <c r="I640" s="111" t="s">
        <v>1748</v>
      </c>
      <c r="J640" s="111" t="s">
        <v>583</v>
      </c>
    </row>
    <row r="641" ht="18.75" hidden="1" customHeight="1">
      <c r="A641" s="111" t="s">
        <v>1590</v>
      </c>
      <c r="B641" s="111" t="s">
        <v>2281</v>
      </c>
      <c r="C641" s="111" t="s">
        <v>2282</v>
      </c>
      <c r="D641" s="111" t="s">
        <v>1593</v>
      </c>
      <c r="E641" s="111" t="s">
        <v>1594</v>
      </c>
      <c r="F641" s="112">
        <v>300.0</v>
      </c>
      <c r="G641" s="111" t="s">
        <v>1749</v>
      </c>
      <c r="H641" s="111" t="s">
        <v>116</v>
      </c>
      <c r="I641" s="111" t="s">
        <v>1750</v>
      </c>
      <c r="J641" s="111" t="s">
        <v>684</v>
      </c>
    </row>
    <row r="642" ht="18.75" hidden="1" customHeight="1">
      <c r="A642" s="111" t="s">
        <v>1590</v>
      </c>
      <c r="B642" s="111" t="s">
        <v>2281</v>
      </c>
      <c r="C642" s="111" t="s">
        <v>2282</v>
      </c>
      <c r="D642" s="111" t="s">
        <v>1593</v>
      </c>
      <c r="E642" s="111" t="s">
        <v>1594</v>
      </c>
      <c r="F642" s="112">
        <v>300.0</v>
      </c>
      <c r="G642" s="111" t="s">
        <v>1752</v>
      </c>
      <c r="H642" s="111" t="s">
        <v>252</v>
      </c>
      <c r="I642" s="111" t="s">
        <v>1753</v>
      </c>
      <c r="J642" s="111" t="s">
        <v>701</v>
      </c>
    </row>
    <row r="643" ht="18.75" hidden="1" customHeight="1">
      <c r="A643" s="111" t="s">
        <v>1590</v>
      </c>
      <c r="B643" s="111" t="s">
        <v>2281</v>
      </c>
      <c r="C643" s="111" t="s">
        <v>2282</v>
      </c>
      <c r="D643" s="111" t="s">
        <v>1593</v>
      </c>
      <c r="E643" s="111" t="s">
        <v>1594</v>
      </c>
      <c r="F643" s="112">
        <v>300.0</v>
      </c>
      <c r="G643" s="111" t="s">
        <v>1754</v>
      </c>
      <c r="H643" s="111" t="s">
        <v>343</v>
      </c>
      <c r="I643" s="111" t="s">
        <v>1755</v>
      </c>
      <c r="J643" s="111" t="s">
        <v>475</v>
      </c>
    </row>
    <row r="644" ht="18.75" hidden="1" customHeight="1">
      <c r="A644" s="111" t="s">
        <v>1590</v>
      </c>
      <c r="B644" s="111" t="s">
        <v>2281</v>
      </c>
      <c r="C644" s="111" t="s">
        <v>2282</v>
      </c>
      <c r="D644" s="111" t="s">
        <v>1593</v>
      </c>
      <c r="E644" s="111" t="s">
        <v>1594</v>
      </c>
      <c r="F644" s="112">
        <v>300.0</v>
      </c>
      <c r="G644" s="111" t="s">
        <v>1758</v>
      </c>
      <c r="H644" s="111" t="s">
        <v>1296</v>
      </c>
      <c r="I644" s="111" t="s">
        <v>1759</v>
      </c>
      <c r="J644" s="111" t="s">
        <v>1295</v>
      </c>
    </row>
    <row r="645" ht="18.75" hidden="1" customHeight="1">
      <c r="A645" s="111" t="s">
        <v>1590</v>
      </c>
      <c r="B645" s="111" t="s">
        <v>2281</v>
      </c>
      <c r="C645" s="111" t="s">
        <v>2282</v>
      </c>
      <c r="D645" s="111" t="s">
        <v>1593</v>
      </c>
      <c r="E645" s="111" t="s">
        <v>1594</v>
      </c>
      <c r="F645" s="112">
        <v>300.0</v>
      </c>
      <c r="G645" s="111" t="s">
        <v>1760</v>
      </c>
      <c r="H645" s="111" t="s">
        <v>503</v>
      </c>
      <c r="I645" s="111" t="s">
        <v>1761</v>
      </c>
      <c r="J645" s="111" t="s">
        <v>502</v>
      </c>
    </row>
    <row r="646" ht="18.75" hidden="1" customHeight="1">
      <c r="A646" s="111" t="s">
        <v>1590</v>
      </c>
      <c r="B646" s="111" t="s">
        <v>2281</v>
      </c>
      <c r="C646" s="111" t="s">
        <v>2282</v>
      </c>
      <c r="D646" s="111" t="s">
        <v>1593</v>
      </c>
      <c r="E646" s="111" t="s">
        <v>1594</v>
      </c>
      <c r="F646" s="112">
        <v>300.0</v>
      </c>
      <c r="G646" s="111" t="s">
        <v>1763</v>
      </c>
      <c r="H646" s="111" t="s">
        <v>1764</v>
      </c>
      <c r="I646" s="111" t="s">
        <v>1765</v>
      </c>
      <c r="J646" s="111" t="s">
        <v>1540</v>
      </c>
    </row>
    <row r="647" ht="18.75" hidden="1" customHeight="1">
      <c r="A647" s="111" t="s">
        <v>1590</v>
      </c>
      <c r="B647" s="111" t="s">
        <v>2281</v>
      </c>
      <c r="C647" s="111" t="s">
        <v>2282</v>
      </c>
      <c r="D647" s="111" t="s">
        <v>1593</v>
      </c>
      <c r="E647" s="111" t="s">
        <v>1594</v>
      </c>
      <c r="F647" s="112">
        <v>300.0</v>
      </c>
      <c r="G647" s="111" t="s">
        <v>1766</v>
      </c>
      <c r="H647" s="111" t="s">
        <v>375</v>
      </c>
      <c r="I647" s="111" t="s">
        <v>1767</v>
      </c>
      <c r="J647" s="111" t="s">
        <v>1040</v>
      </c>
    </row>
    <row r="648" ht="18.75" hidden="1" customHeight="1">
      <c r="A648" s="111" t="s">
        <v>1590</v>
      </c>
      <c r="B648" s="111" t="s">
        <v>2281</v>
      </c>
      <c r="C648" s="111" t="s">
        <v>2282</v>
      </c>
      <c r="D648" s="111" t="s">
        <v>1593</v>
      </c>
      <c r="E648" s="111" t="s">
        <v>1594</v>
      </c>
      <c r="F648" s="112">
        <v>300.0</v>
      </c>
      <c r="G648" s="111" t="s">
        <v>1768</v>
      </c>
      <c r="H648" s="111" t="s">
        <v>1418</v>
      </c>
      <c r="I648" s="111" t="s">
        <v>1769</v>
      </c>
      <c r="J648" s="111" t="s">
        <v>1417</v>
      </c>
    </row>
    <row r="649" ht="18.75" hidden="1" customHeight="1">
      <c r="A649" s="111" t="s">
        <v>1590</v>
      </c>
      <c r="B649" s="111" t="s">
        <v>2281</v>
      </c>
      <c r="C649" s="111" t="s">
        <v>2282</v>
      </c>
      <c r="D649" s="111" t="s">
        <v>1593</v>
      </c>
      <c r="E649" s="111" t="s">
        <v>1594</v>
      </c>
      <c r="F649" s="112">
        <v>300.0</v>
      </c>
      <c r="G649" s="111" t="s">
        <v>1771</v>
      </c>
      <c r="H649" s="111" t="s">
        <v>981</v>
      </c>
      <c r="I649" s="111" t="s">
        <v>1772</v>
      </c>
      <c r="J649" s="111" t="s">
        <v>986</v>
      </c>
    </row>
    <row r="650" ht="18.75" hidden="1" customHeight="1">
      <c r="A650" s="111" t="s">
        <v>1590</v>
      </c>
      <c r="B650" s="111" t="s">
        <v>2281</v>
      </c>
      <c r="C650" s="111" t="s">
        <v>2282</v>
      </c>
      <c r="D650" s="111" t="s">
        <v>1593</v>
      </c>
      <c r="E650" s="111" t="s">
        <v>1594</v>
      </c>
      <c r="F650" s="112">
        <v>300.0</v>
      </c>
      <c r="G650" s="111" t="s">
        <v>1773</v>
      </c>
      <c r="H650" s="111" t="s">
        <v>313</v>
      </c>
      <c r="I650" s="111" t="s">
        <v>1774</v>
      </c>
      <c r="J650" s="111" t="s">
        <v>1466</v>
      </c>
    </row>
    <row r="651" ht="18.75" hidden="1" customHeight="1">
      <c r="A651" s="111" t="s">
        <v>1590</v>
      </c>
      <c r="B651" s="111" t="s">
        <v>2281</v>
      </c>
      <c r="C651" s="111" t="s">
        <v>2282</v>
      </c>
      <c r="D651" s="111" t="s">
        <v>1593</v>
      </c>
      <c r="E651" s="111" t="s">
        <v>1594</v>
      </c>
      <c r="F651" s="112">
        <v>300.0</v>
      </c>
      <c r="G651" s="111" t="s">
        <v>1776</v>
      </c>
      <c r="H651" s="111" t="s">
        <v>1448</v>
      </c>
      <c r="I651" s="111" t="s">
        <v>1777</v>
      </c>
      <c r="J651" s="111" t="s">
        <v>1450</v>
      </c>
    </row>
    <row r="652" ht="18.75" hidden="1" customHeight="1">
      <c r="A652" s="111" t="s">
        <v>1590</v>
      </c>
      <c r="B652" s="111" t="s">
        <v>2281</v>
      </c>
      <c r="C652" s="111" t="s">
        <v>2282</v>
      </c>
      <c r="D652" s="111" t="s">
        <v>1593</v>
      </c>
      <c r="E652" s="111" t="s">
        <v>1594</v>
      </c>
      <c r="F652" s="112">
        <v>300.0</v>
      </c>
      <c r="G652" s="111" t="s">
        <v>1778</v>
      </c>
      <c r="H652" s="111" t="s">
        <v>176</v>
      </c>
      <c r="I652" s="111" t="s">
        <v>1779</v>
      </c>
      <c r="J652" s="111" t="s">
        <v>871</v>
      </c>
    </row>
    <row r="653" ht="18.75" hidden="1" customHeight="1">
      <c r="A653" s="111" t="s">
        <v>1590</v>
      </c>
      <c r="B653" s="111" t="s">
        <v>2281</v>
      </c>
      <c r="C653" s="111" t="s">
        <v>2282</v>
      </c>
      <c r="D653" s="111" t="s">
        <v>1593</v>
      </c>
      <c r="E653" s="111" t="s">
        <v>1594</v>
      </c>
      <c r="F653" s="112">
        <v>300.0</v>
      </c>
      <c r="G653" s="111" t="s">
        <v>1781</v>
      </c>
      <c r="H653" s="111" t="s">
        <v>1154</v>
      </c>
      <c r="I653" s="111" t="s">
        <v>1782</v>
      </c>
      <c r="J653" s="111" t="s">
        <v>1153</v>
      </c>
    </row>
    <row r="654" ht="18.75" hidden="1" customHeight="1">
      <c r="A654" s="111" t="s">
        <v>1590</v>
      </c>
      <c r="B654" s="111" t="s">
        <v>2281</v>
      </c>
      <c r="C654" s="111" t="s">
        <v>2282</v>
      </c>
      <c r="D654" s="111" t="s">
        <v>1593</v>
      </c>
      <c r="E654" s="111" t="s">
        <v>1594</v>
      </c>
      <c r="F654" s="112">
        <v>300.0</v>
      </c>
      <c r="G654" s="111" t="s">
        <v>1784</v>
      </c>
      <c r="H654" s="111" t="s">
        <v>1399</v>
      </c>
      <c r="I654" s="111" t="s">
        <v>1785</v>
      </c>
      <c r="J654" s="111" t="s">
        <v>1398</v>
      </c>
    </row>
    <row r="655" ht="18.75" hidden="1" customHeight="1">
      <c r="A655" s="111" t="s">
        <v>1590</v>
      </c>
      <c r="B655" s="111" t="s">
        <v>2281</v>
      </c>
      <c r="C655" s="111" t="s">
        <v>2282</v>
      </c>
      <c r="D655" s="111" t="s">
        <v>1593</v>
      </c>
      <c r="E655" s="111" t="s">
        <v>1594</v>
      </c>
      <c r="F655" s="112">
        <v>300.0</v>
      </c>
      <c r="G655" s="111" t="s">
        <v>1786</v>
      </c>
      <c r="H655" s="111" t="s">
        <v>620</v>
      </c>
      <c r="I655" s="111" t="s">
        <v>1787</v>
      </c>
      <c r="J655" s="111" t="s">
        <v>1788</v>
      </c>
    </row>
    <row r="656" ht="18.75" hidden="1" customHeight="1">
      <c r="A656" s="111" t="s">
        <v>1590</v>
      </c>
      <c r="B656" s="111" t="s">
        <v>2281</v>
      </c>
      <c r="C656" s="111" t="s">
        <v>2282</v>
      </c>
      <c r="D656" s="111" t="s">
        <v>1593</v>
      </c>
      <c r="E656" s="111" t="s">
        <v>1594</v>
      </c>
      <c r="F656" s="112">
        <v>300.0</v>
      </c>
      <c r="G656" s="111" t="s">
        <v>1789</v>
      </c>
      <c r="H656" s="111" t="s">
        <v>329</v>
      </c>
      <c r="I656" s="111" t="s">
        <v>1791</v>
      </c>
      <c r="J656" s="111" t="s">
        <v>1487</v>
      </c>
    </row>
    <row r="657" ht="18.75" hidden="1" customHeight="1">
      <c r="A657" s="111" t="s">
        <v>1590</v>
      </c>
      <c r="B657" s="111" t="s">
        <v>2281</v>
      </c>
      <c r="C657" s="111" t="s">
        <v>2282</v>
      </c>
      <c r="D657" s="111" t="s">
        <v>1593</v>
      </c>
      <c r="E657" s="111" t="s">
        <v>1594</v>
      </c>
      <c r="F657" s="112">
        <v>300.0</v>
      </c>
      <c r="G657" s="111" t="s">
        <v>1792</v>
      </c>
      <c r="H657" s="111" t="s">
        <v>1131</v>
      </c>
      <c r="I657" s="111" t="s">
        <v>1793</v>
      </c>
      <c r="J657" s="111" t="s">
        <v>1130</v>
      </c>
    </row>
    <row r="658" ht="18.75" hidden="1" customHeight="1">
      <c r="A658" s="111" t="s">
        <v>1590</v>
      </c>
      <c r="B658" s="111" t="s">
        <v>2281</v>
      </c>
      <c r="C658" s="111" t="s">
        <v>2282</v>
      </c>
      <c r="D658" s="111" t="s">
        <v>1593</v>
      </c>
      <c r="E658" s="111" t="s">
        <v>1594</v>
      </c>
      <c r="F658" s="112">
        <v>300.0</v>
      </c>
      <c r="G658" s="111" t="s">
        <v>1794</v>
      </c>
      <c r="H658" s="111" t="s">
        <v>199</v>
      </c>
      <c r="I658" s="111" t="s">
        <v>1795</v>
      </c>
      <c r="J658" s="111" t="s">
        <v>576</v>
      </c>
    </row>
    <row r="659" ht="18.75" hidden="1" customHeight="1">
      <c r="A659" s="111" t="s">
        <v>1590</v>
      </c>
      <c r="B659" s="111" t="s">
        <v>2281</v>
      </c>
      <c r="C659" s="111" t="s">
        <v>2282</v>
      </c>
      <c r="D659" s="111" t="s">
        <v>1593</v>
      </c>
      <c r="E659" s="111" t="s">
        <v>1594</v>
      </c>
      <c r="F659" s="112">
        <v>300.0</v>
      </c>
      <c r="G659" s="111" t="s">
        <v>1797</v>
      </c>
      <c r="H659" s="111" t="s">
        <v>117</v>
      </c>
      <c r="I659" s="111" t="s">
        <v>1798</v>
      </c>
      <c r="J659" s="111" t="s">
        <v>539</v>
      </c>
    </row>
    <row r="660" ht="18.75" hidden="1" customHeight="1">
      <c r="A660" s="111" t="s">
        <v>1590</v>
      </c>
      <c r="B660" s="111" t="s">
        <v>2281</v>
      </c>
      <c r="C660" s="111" t="s">
        <v>2282</v>
      </c>
      <c r="D660" s="111" t="s">
        <v>1593</v>
      </c>
      <c r="E660" s="111" t="s">
        <v>1594</v>
      </c>
      <c r="F660" s="112">
        <v>300.0</v>
      </c>
      <c r="G660" s="111" t="s">
        <v>1799</v>
      </c>
      <c r="H660" s="111" t="s">
        <v>180</v>
      </c>
      <c r="I660" s="111" t="s">
        <v>1800</v>
      </c>
      <c r="J660" s="111" t="s">
        <v>178</v>
      </c>
    </row>
    <row r="661" ht="18.75" hidden="1" customHeight="1">
      <c r="A661" s="111" t="s">
        <v>1590</v>
      </c>
      <c r="B661" s="111" t="s">
        <v>2281</v>
      </c>
      <c r="C661" s="111" t="s">
        <v>2282</v>
      </c>
      <c r="D661" s="111" t="s">
        <v>1593</v>
      </c>
      <c r="E661" s="111" t="s">
        <v>1594</v>
      </c>
      <c r="F661" s="112">
        <v>300.0</v>
      </c>
      <c r="G661" s="111" t="s">
        <v>1801</v>
      </c>
      <c r="H661" s="111" t="s">
        <v>270</v>
      </c>
      <c r="I661" s="111" t="s">
        <v>1802</v>
      </c>
      <c r="J661" s="111" t="s">
        <v>1345</v>
      </c>
    </row>
    <row r="662" ht="18.75" hidden="1" customHeight="1">
      <c r="A662" s="111" t="s">
        <v>1590</v>
      </c>
      <c r="B662" s="111" t="s">
        <v>2281</v>
      </c>
      <c r="C662" s="111" t="s">
        <v>2282</v>
      </c>
      <c r="D662" s="111" t="s">
        <v>1593</v>
      </c>
      <c r="E662" s="111" t="s">
        <v>1594</v>
      </c>
      <c r="F662" s="112">
        <v>300.0</v>
      </c>
      <c r="G662" s="111" t="s">
        <v>1804</v>
      </c>
      <c r="H662" s="111" t="s">
        <v>162</v>
      </c>
      <c r="I662" s="111" t="s">
        <v>1805</v>
      </c>
      <c r="J662" s="111" t="s">
        <v>941</v>
      </c>
    </row>
    <row r="663" ht="18.75" hidden="1" customHeight="1">
      <c r="A663" s="111" t="s">
        <v>1590</v>
      </c>
      <c r="B663" s="111" t="s">
        <v>2281</v>
      </c>
      <c r="C663" s="111" t="s">
        <v>2282</v>
      </c>
      <c r="D663" s="111" t="s">
        <v>1593</v>
      </c>
      <c r="E663" s="111" t="s">
        <v>1594</v>
      </c>
      <c r="F663" s="112">
        <v>300.0</v>
      </c>
      <c r="G663" s="111" t="s">
        <v>1807</v>
      </c>
      <c r="H663" s="111" t="s">
        <v>156</v>
      </c>
      <c r="I663" s="111" t="s">
        <v>1808</v>
      </c>
      <c r="J663" s="111" t="s">
        <v>1005</v>
      </c>
    </row>
    <row r="664" ht="18.75" hidden="1" customHeight="1">
      <c r="A664" s="111" t="s">
        <v>1590</v>
      </c>
      <c r="B664" s="111" t="s">
        <v>2281</v>
      </c>
      <c r="C664" s="111" t="s">
        <v>2282</v>
      </c>
      <c r="D664" s="111" t="s">
        <v>1593</v>
      </c>
      <c r="E664" s="111" t="s">
        <v>1594</v>
      </c>
      <c r="F664" s="112">
        <v>300.0</v>
      </c>
      <c r="G664" s="111" t="s">
        <v>1809</v>
      </c>
      <c r="H664" s="111" t="s">
        <v>404</v>
      </c>
      <c r="I664" s="111" t="s">
        <v>1810</v>
      </c>
      <c r="J664" s="111" t="s">
        <v>1555</v>
      </c>
    </row>
    <row r="665" ht="18.75" hidden="1" customHeight="1">
      <c r="A665" s="111" t="s">
        <v>1590</v>
      </c>
      <c r="B665" s="111" t="s">
        <v>2281</v>
      </c>
      <c r="C665" s="111" t="s">
        <v>2282</v>
      </c>
      <c r="D665" s="111" t="s">
        <v>1593</v>
      </c>
      <c r="E665" s="111" t="s">
        <v>1594</v>
      </c>
      <c r="F665" s="112">
        <v>300.0</v>
      </c>
      <c r="G665" s="111" t="s">
        <v>1812</v>
      </c>
      <c r="H665" s="111" t="s">
        <v>26</v>
      </c>
      <c r="I665" s="111" t="s">
        <v>1813</v>
      </c>
      <c r="J665" s="111" t="s">
        <v>25</v>
      </c>
    </row>
    <row r="666" ht="18.75" hidden="1" customHeight="1">
      <c r="A666" s="111" t="s">
        <v>1590</v>
      </c>
      <c r="B666" s="111" t="s">
        <v>2281</v>
      </c>
      <c r="C666" s="111" t="s">
        <v>2282</v>
      </c>
      <c r="D666" s="111" t="s">
        <v>1593</v>
      </c>
      <c r="E666" s="111" t="s">
        <v>1594</v>
      </c>
      <c r="F666" s="112">
        <v>300.0</v>
      </c>
      <c r="G666" s="111" t="s">
        <v>1814</v>
      </c>
      <c r="H666" s="111" t="s">
        <v>489</v>
      </c>
      <c r="I666" s="111" t="s">
        <v>1815</v>
      </c>
      <c r="J666" s="111" t="s">
        <v>495</v>
      </c>
    </row>
    <row r="667" ht="18.75" hidden="1" customHeight="1">
      <c r="A667" s="111" t="s">
        <v>1590</v>
      </c>
      <c r="B667" s="111" t="s">
        <v>2281</v>
      </c>
      <c r="C667" s="111" t="s">
        <v>2282</v>
      </c>
      <c r="D667" s="111" t="s">
        <v>1593</v>
      </c>
      <c r="E667" s="111" t="s">
        <v>1594</v>
      </c>
      <c r="F667" s="112">
        <v>300.0</v>
      </c>
      <c r="G667" s="111" t="s">
        <v>1817</v>
      </c>
      <c r="H667" s="111" t="s">
        <v>190</v>
      </c>
      <c r="I667" s="111" t="s">
        <v>1818</v>
      </c>
      <c r="J667" s="111" t="s">
        <v>1360</v>
      </c>
    </row>
    <row r="668" ht="18.75" hidden="1" customHeight="1">
      <c r="A668" s="111" t="s">
        <v>1590</v>
      </c>
      <c r="B668" s="111" t="s">
        <v>2281</v>
      </c>
      <c r="C668" s="111" t="s">
        <v>2282</v>
      </c>
      <c r="D668" s="111" t="s">
        <v>1593</v>
      </c>
      <c r="E668" s="111" t="s">
        <v>1594</v>
      </c>
      <c r="F668" s="112">
        <v>300.0</v>
      </c>
      <c r="G668" s="111" t="s">
        <v>1819</v>
      </c>
      <c r="H668" s="111" t="s">
        <v>1357</v>
      </c>
      <c r="I668" s="111" t="s">
        <v>1820</v>
      </c>
      <c r="J668" s="111" t="s">
        <v>1359</v>
      </c>
    </row>
    <row r="669" ht="18.75" hidden="1" customHeight="1">
      <c r="A669" s="111" t="s">
        <v>1590</v>
      </c>
      <c r="B669" s="111" t="s">
        <v>2281</v>
      </c>
      <c r="C669" s="111" t="s">
        <v>2282</v>
      </c>
      <c r="D669" s="111" t="s">
        <v>1593</v>
      </c>
      <c r="E669" s="111" t="s">
        <v>1594</v>
      </c>
      <c r="F669" s="112">
        <v>300.0</v>
      </c>
      <c r="G669" s="111" t="s">
        <v>1822</v>
      </c>
      <c r="H669" s="111" t="s">
        <v>378</v>
      </c>
      <c r="I669" s="111" t="s">
        <v>1823</v>
      </c>
      <c r="J669" s="111" t="s">
        <v>1194</v>
      </c>
    </row>
    <row r="670" ht="18.75" hidden="1" customHeight="1">
      <c r="A670" s="111" t="s">
        <v>1590</v>
      </c>
      <c r="B670" s="111" t="s">
        <v>2281</v>
      </c>
      <c r="C670" s="111" t="s">
        <v>2282</v>
      </c>
      <c r="D670" s="111" t="s">
        <v>1593</v>
      </c>
      <c r="E670" s="111" t="s">
        <v>1594</v>
      </c>
      <c r="F670" s="112">
        <v>300.0</v>
      </c>
      <c r="G670" s="111" t="s">
        <v>1824</v>
      </c>
      <c r="H670" s="111" t="s">
        <v>1502</v>
      </c>
      <c r="I670" s="111" t="s">
        <v>1826</v>
      </c>
      <c r="J670" s="111" t="s">
        <v>1504</v>
      </c>
    </row>
    <row r="671" ht="18.75" hidden="1" customHeight="1">
      <c r="A671" s="111" t="s">
        <v>1590</v>
      </c>
      <c r="B671" s="111" t="s">
        <v>2281</v>
      </c>
      <c r="C671" s="111" t="s">
        <v>2282</v>
      </c>
      <c r="D671" s="111" t="s">
        <v>1593</v>
      </c>
      <c r="E671" s="111" t="s">
        <v>1594</v>
      </c>
      <c r="F671" s="112">
        <v>300.0</v>
      </c>
      <c r="G671" s="111" t="s">
        <v>1827</v>
      </c>
      <c r="H671" s="111" t="s">
        <v>1025</v>
      </c>
      <c r="I671" s="111" t="s">
        <v>1828</v>
      </c>
      <c r="J671" s="111" t="s">
        <v>1024</v>
      </c>
    </row>
    <row r="672" ht="18.75" hidden="1" customHeight="1">
      <c r="A672" s="111" t="s">
        <v>1590</v>
      </c>
      <c r="B672" s="111" t="s">
        <v>2281</v>
      </c>
      <c r="C672" s="111" t="s">
        <v>2282</v>
      </c>
      <c r="D672" s="111" t="s">
        <v>1593</v>
      </c>
      <c r="E672" s="111" t="s">
        <v>1594</v>
      </c>
      <c r="F672" s="112">
        <v>300.0</v>
      </c>
      <c r="G672" s="111" t="s">
        <v>1830</v>
      </c>
      <c r="H672" s="111" t="s">
        <v>250</v>
      </c>
      <c r="I672" s="111" t="s">
        <v>1831</v>
      </c>
      <c r="J672" s="111" t="s">
        <v>811</v>
      </c>
    </row>
    <row r="673" ht="18.75" hidden="1" customHeight="1">
      <c r="A673" s="111" t="s">
        <v>1590</v>
      </c>
      <c r="B673" s="111" t="s">
        <v>2281</v>
      </c>
      <c r="C673" s="111" t="s">
        <v>2282</v>
      </c>
      <c r="D673" s="111" t="s">
        <v>1593</v>
      </c>
      <c r="E673" s="111" t="s">
        <v>1594</v>
      </c>
      <c r="F673" s="112">
        <v>300.0</v>
      </c>
      <c r="G673" s="111" t="s">
        <v>1832</v>
      </c>
      <c r="H673" s="111" t="s">
        <v>283</v>
      </c>
      <c r="I673" s="111" t="s">
        <v>1833</v>
      </c>
      <c r="J673" s="111" t="s">
        <v>1129</v>
      </c>
    </row>
    <row r="674" ht="18.75" hidden="1" customHeight="1">
      <c r="A674" s="111" t="s">
        <v>1590</v>
      </c>
      <c r="B674" s="111" t="s">
        <v>2281</v>
      </c>
      <c r="C674" s="111" t="s">
        <v>2282</v>
      </c>
      <c r="D674" s="111" t="s">
        <v>1593</v>
      </c>
      <c r="E674" s="111" t="s">
        <v>1594</v>
      </c>
      <c r="F674" s="112">
        <v>300.0</v>
      </c>
      <c r="G674" s="111" t="s">
        <v>1835</v>
      </c>
      <c r="H674" s="111" t="s">
        <v>692</v>
      </c>
      <c r="I674" s="111" t="s">
        <v>1836</v>
      </c>
      <c r="J674" s="111" t="s">
        <v>694</v>
      </c>
    </row>
    <row r="675" ht="18.75" hidden="1" customHeight="1">
      <c r="A675" s="111" t="s">
        <v>1590</v>
      </c>
      <c r="B675" s="111" t="s">
        <v>2281</v>
      </c>
      <c r="C675" s="111" t="s">
        <v>2282</v>
      </c>
      <c r="D675" s="111" t="s">
        <v>1593</v>
      </c>
      <c r="E675" s="111" t="s">
        <v>1594</v>
      </c>
      <c r="F675" s="112">
        <v>300.0</v>
      </c>
      <c r="G675" s="111" t="s">
        <v>1838</v>
      </c>
      <c r="H675" s="111" t="s">
        <v>384</v>
      </c>
      <c r="I675" s="111" t="s">
        <v>1839</v>
      </c>
      <c r="J675" s="111" t="s">
        <v>1105</v>
      </c>
    </row>
    <row r="676" ht="18.75" hidden="1" customHeight="1">
      <c r="A676" s="111" t="s">
        <v>1590</v>
      </c>
      <c r="B676" s="111" t="s">
        <v>2281</v>
      </c>
      <c r="C676" s="111" t="s">
        <v>2282</v>
      </c>
      <c r="D676" s="111" t="s">
        <v>1593</v>
      </c>
      <c r="E676" s="111" t="s">
        <v>1594</v>
      </c>
      <c r="F676" s="112">
        <v>300.0</v>
      </c>
      <c r="G676" s="111" t="s">
        <v>1841</v>
      </c>
      <c r="H676" s="111" t="s">
        <v>1335</v>
      </c>
      <c r="I676" s="111" t="s">
        <v>1842</v>
      </c>
      <c r="J676" s="111" t="s">
        <v>1339</v>
      </c>
    </row>
    <row r="677" ht="18.75" hidden="1" customHeight="1">
      <c r="A677" s="111" t="s">
        <v>1590</v>
      </c>
      <c r="B677" s="111" t="s">
        <v>2281</v>
      </c>
      <c r="C677" s="111" t="s">
        <v>2282</v>
      </c>
      <c r="D677" s="111" t="s">
        <v>1593</v>
      </c>
      <c r="E677" s="111" t="s">
        <v>1594</v>
      </c>
      <c r="F677" s="112">
        <v>300.0</v>
      </c>
      <c r="G677" s="111" t="s">
        <v>1844</v>
      </c>
      <c r="H677" s="111" t="s">
        <v>1261</v>
      </c>
      <c r="I677" s="111" t="s">
        <v>1845</v>
      </c>
      <c r="J677" s="111" t="s">
        <v>1264</v>
      </c>
    </row>
    <row r="678" ht="18.75" hidden="1" customHeight="1">
      <c r="A678" s="111" t="s">
        <v>1590</v>
      </c>
      <c r="B678" s="111" t="s">
        <v>2281</v>
      </c>
      <c r="C678" s="111" t="s">
        <v>2282</v>
      </c>
      <c r="D678" s="111" t="s">
        <v>1593</v>
      </c>
      <c r="E678" s="111" t="s">
        <v>1594</v>
      </c>
      <c r="F678" s="112">
        <v>300.0</v>
      </c>
      <c r="G678" s="111" t="s">
        <v>1847</v>
      </c>
      <c r="H678" s="111" t="s">
        <v>1550</v>
      </c>
      <c r="I678" s="111" t="s">
        <v>1848</v>
      </c>
      <c r="J678" s="111" t="s">
        <v>1552</v>
      </c>
    </row>
    <row r="679" ht="18.75" hidden="1" customHeight="1">
      <c r="A679" s="111" t="s">
        <v>1590</v>
      </c>
      <c r="B679" s="111" t="s">
        <v>2281</v>
      </c>
      <c r="C679" s="111" t="s">
        <v>2282</v>
      </c>
      <c r="D679" s="111" t="s">
        <v>1593</v>
      </c>
      <c r="E679" s="111" t="s">
        <v>1594</v>
      </c>
      <c r="F679" s="112">
        <v>300.0</v>
      </c>
      <c r="G679" s="111" t="s">
        <v>1854</v>
      </c>
      <c r="H679" s="111" t="s">
        <v>1443</v>
      </c>
      <c r="I679" s="111" t="s">
        <v>1855</v>
      </c>
      <c r="J679" s="111" t="s">
        <v>1442</v>
      </c>
    </row>
    <row r="680" ht="18.75" hidden="1" customHeight="1">
      <c r="A680" s="111" t="s">
        <v>1590</v>
      </c>
      <c r="B680" s="111" t="s">
        <v>2281</v>
      </c>
      <c r="C680" s="111" t="s">
        <v>2282</v>
      </c>
      <c r="D680" s="111" t="s">
        <v>1593</v>
      </c>
      <c r="E680" s="111" t="s">
        <v>1594</v>
      </c>
      <c r="F680" s="112">
        <v>300.0</v>
      </c>
      <c r="G680" s="111" t="s">
        <v>1857</v>
      </c>
      <c r="H680" s="111" t="s">
        <v>509</v>
      </c>
      <c r="I680" s="111" t="s">
        <v>1858</v>
      </c>
      <c r="J680" s="111" t="s">
        <v>514</v>
      </c>
    </row>
    <row r="681" ht="18.75" hidden="1" customHeight="1">
      <c r="A681" s="111" t="s">
        <v>1590</v>
      </c>
      <c r="B681" s="111" t="s">
        <v>2281</v>
      </c>
      <c r="C681" s="111" t="s">
        <v>2282</v>
      </c>
      <c r="D681" s="111" t="s">
        <v>1593</v>
      </c>
      <c r="E681" s="111" t="s">
        <v>1594</v>
      </c>
      <c r="F681" s="112">
        <v>300.0</v>
      </c>
      <c r="G681" s="111" t="s">
        <v>1859</v>
      </c>
      <c r="H681" s="111" t="s">
        <v>188</v>
      </c>
      <c r="I681" s="111" t="s">
        <v>1860</v>
      </c>
      <c r="J681" s="111" t="s">
        <v>746</v>
      </c>
    </row>
    <row r="682" ht="18.75" hidden="1" customHeight="1">
      <c r="A682" s="111" t="s">
        <v>1590</v>
      </c>
      <c r="B682" s="111" t="s">
        <v>2281</v>
      </c>
      <c r="C682" s="111" t="s">
        <v>2282</v>
      </c>
      <c r="D682" s="111" t="s">
        <v>1593</v>
      </c>
      <c r="E682" s="111" t="s">
        <v>1594</v>
      </c>
      <c r="F682" s="112">
        <v>300.0</v>
      </c>
      <c r="G682" s="111" t="s">
        <v>1862</v>
      </c>
      <c r="H682" s="111" t="s">
        <v>1084</v>
      </c>
      <c r="I682" s="111" t="s">
        <v>1863</v>
      </c>
      <c r="J682" s="111" t="s">
        <v>1089</v>
      </c>
    </row>
    <row r="683" ht="18.75" hidden="1" customHeight="1">
      <c r="A683" s="111" t="s">
        <v>1590</v>
      </c>
      <c r="B683" s="111" t="s">
        <v>2281</v>
      </c>
      <c r="C683" s="111" t="s">
        <v>2282</v>
      </c>
      <c r="D683" s="111" t="s">
        <v>1593</v>
      </c>
      <c r="E683" s="111" t="s">
        <v>1594</v>
      </c>
      <c r="F683" s="112">
        <v>300.0</v>
      </c>
      <c r="G683" s="111" t="s">
        <v>1864</v>
      </c>
      <c r="H683" s="111" t="s">
        <v>100</v>
      </c>
      <c r="I683" s="111" t="s">
        <v>1865</v>
      </c>
      <c r="J683" s="111" t="s">
        <v>1218</v>
      </c>
    </row>
    <row r="684" ht="18.75" hidden="1" customHeight="1">
      <c r="A684" s="111" t="s">
        <v>1590</v>
      </c>
      <c r="B684" s="111" t="s">
        <v>2281</v>
      </c>
      <c r="C684" s="111" t="s">
        <v>2282</v>
      </c>
      <c r="D684" s="111" t="s">
        <v>1593</v>
      </c>
      <c r="E684" s="111" t="s">
        <v>1594</v>
      </c>
      <c r="F684" s="112">
        <v>300.0</v>
      </c>
      <c r="G684" s="111" t="s">
        <v>1869</v>
      </c>
      <c r="H684" s="111" t="s">
        <v>1491</v>
      </c>
      <c r="I684" s="111" t="s">
        <v>1870</v>
      </c>
      <c r="J684" s="111" t="s">
        <v>1493</v>
      </c>
    </row>
    <row r="685" ht="18.75" hidden="1" customHeight="1">
      <c r="A685" s="111" t="s">
        <v>1590</v>
      </c>
      <c r="B685" s="111" t="s">
        <v>2281</v>
      </c>
      <c r="C685" s="111" t="s">
        <v>2282</v>
      </c>
      <c r="D685" s="111" t="s">
        <v>1593</v>
      </c>
      <c r="E685" s="111" t="s">
        <v>1594</v>
      </c>
      <c r="F685" s="112">
        <v>300.0</v>
      </c>
      <c r="G685" s="111" t="s">
        <v>1871</v>
      </c>
      <c r="H685" s="111" t="s">
        <v>725</v>
      </c>
      <c r="I685" s="111" t="s">
        <v>1872</v>
      </c>
      <c r="J685" s="111" t="s">
        <v>727</v>
      </c>
    </row>
    <row r="686" ht="18.75" hidden="1" customHeight="1">
      <c r="A686" s="111" t="s">
        <v>1590</v>
      </c>
      <c r="B686" s="111" t="s">
        <v>2281</v>
      </c>
      <c r="C686" s="111" t="s">
        <v>2282</v>
      </c>
      <c r="D686" s="111" t="s">
        <v>1593</v>
      </c>
      <c r="E686" s="111" t="s">
        <v>1594</v>
      </c>
      <c r="F686" s="112">
        <v>300.0</v>
      </c>
      <c r="G686" s="111" t="s">
        <v>1873</v>
      </c>
      <c r="H686" s="111" t="s">
        <v>98</v>
      </c>
      <c r="I686" s="111" t="s">
        <v>1874</v>
      </c>
      <c r="J686" s="111" t="s">
        <v>1489</v>
      </c>
    </row>
    <row r="687" ht="18.75" hidden="1" customHeight="1">
      <c r="A687" s="111" t="s">
        <v>1590</v>
      </c>
      <c r="B687" s="111" t="s">
        <v>2281</v>
      </c>
      <c r="C687" s="111" t="s">
        <v>2282</v>
      </c>
      <c r="D687" s="111" t="s">
        <v>1593</v>
      </c>
      <c r="E687" s="111" t="s">
        <v>1594</v>
      </c>
      <c r="F687" s="112">
        <v>300.0</v>
      </c>
      <c r="G687" s="111" t="s">
        <v>1875</v>
      </c>
      <c r="H687" s="111" t="s">
        <v>599</v>
      </c>
      <c r="I687" s="111" t="s">
        <v>1876</v>
      </c>
      <c r="J687" s="111" t="s">
        <v>603</v>
      </c>
    </row>
    <row r="688" ht="18.75" hidden="1" customHeight="1">
      <c r="A688" s="111" t="s">
        <v>1590</v>
      </c>
      <c r="B688" s="111" t="s">
        <v>2281</v>
      </c>
      <c r="C688" s="111" t="s">
        <v>2282</v>
      </c>
      <c r="D688" s="111" t="s">
        <v>1593</v>
      </c>
      <c r="E688" s="111" t="s">
        <v>1594</v>
      </c>
      <c r="F688" s="112">
        <v>300.0</v>
      </c>
      <c r="G688" s="111" t="s">
        <v>1877</v>
      </c>
      <c r="H688" s="111" t="s">
        <v>317</v>
      </c>
      <c r="I688" s="111" t="s">
        <v>1878</v>
      </c>
      <c r="J688" s="111" t="s">
        <v>1451</v>
      </c>
    </row>
    <row r="689" ht="18.75" hidden="1" customHeight="1">
      <c r="A689" s="111" t="s">
        <v>1590</v>
      </c>
      <c r="B689" s="111" t="s">
        <v>2281</v>
      </c>
      <c r="C689" s="111" t="s">
        <v>2282</v>
      </c>
      <c r="D689" s="111" t="s">
        <v>1593</v>
      </c>
      <c r="E689" s="111" t="s">
        <v>1594</v>
      </c>
      <c r="F689" s="112">
        <v>300.0</v>
      </c>
      <c r="G689" s="111" t="s">
        <v>1879</v>
      </c>
      <c r="H689" s="111" t="s">
        <v>405</v>
      </c>
      <c r="I689" s="111" t="s">
        <v>1880</v>
      </c>
      <c r="J689" s="111" t="s">
        <v>580</v>
      </c>
    </row>
    <row r="690" ht="18.75" hidden="1" customHeight="1">
      <c r="A690" s="111" t="s">
        <v>1590</v>
      </c>
      <c r="B690" s="111" t="s">
        <v>2281</v>
      </c>
      <c r="C690" s="111" t="s">
        <v>2282</v>
      </c>
      <c r="D690" s="111" t="s">
        <v>1593</v>
      </c>
      <c r="E690" s="111" t="s">
        <v>1594</v>
      </c>
      <c r="F690" s="112">
        <v>300.0</v>
      </c>
      <c r="G690" s="111" t="s">
        <v>1881</v>
      </c>
      <c r="H690" s="111" t="s">
        <v>314</v>
      </c>
      <c r="I690" s="111" t="s">
        <v>1882</v>
      </c>
      <c r="J690" s="111" t="s">
        <v>1465</v>
      </c>
    </row>
    <row r="691" ht="18.75" hidden="1" customHeight="1">
      <c r="A691" s="111" t="s">
        <v>1590</v>
      </c>
      <c r="B691" s="111" t="s">
        <v>2281</v>
      </c>
      <c r="C691" s="111" t="s">
        <v>2282</v>
      </c>
      <c r="D691" s="111" t="s">
        <v>1593</v>
      </c>
      <c r="E691" s="111" t="s">
        <v>1594</v>
      </c>
      <c r="F691" s="112">
        <v>300.0</v>
      </c>
      <c r="G691" s="111" t="s">
        <v>1883</v>
      </c>
      <c r="H691" s="111" t="s">
        <v>644</v>
      </c>
      <c r="I691" s="111" t="s">
        <v>1884</v>
      </c>
      <c r="J691" s="111" t="s">
        <v>655</v>
      </c>
    </row>
    <row r="692" ht="18.75" hidden="1" customHeight="1">
      <c r="A692" s="111" t="s">
        <v>1590</v>
      </c>
      <c r="B692" s="111" t="s">
        <v>2281</v>
      </c>
      <c r="C692" s="111" t="s">
        <v>2282</v>
      </c>
      <c r="D692" s="111" t="s">
        <v>1593</v>
      </c>
      <c r="E692" s="111" t="s">
        <v>1594</v>
      </c>
      <c r="F692" s="112">
        <v>300.0</v>
      </c>
      <c r="G692" s="111" t="s">
        <v>1885</v>
      </c>
      <c r="H692" s="111" t="s">
        <v>658</v>
      </c>
      <c r="I692" s="111" t="s">
        <v>1886</v>
      </c>
      <c r="J692" s="111" t="s">
        <v>660</v>
      </c>
    </row>
    <row r="693" ht="18.75" hidden="1" customHeight="1">
      <c r="A693" s="111" t="s">
        <v>1590</v>
      </c>
      <c r="B693" s="111" t="s">
        <v>2281</v>
      </c>
      <c r="C693" s="111" t="s">
        <v>2282</v>
      </c>
      <c r="D693" s="111" t="s">
        <v>1593</v>
      </c>
      <c r="E693" s="111" t="s">
        <v>1594</v>
      </c>
      <c r="F693" s="112">
        <v>300.0</v>
      </c>
      <c r="G693" s="111" t="s">
        <v>1887</v>
      </c>
      <c r="H693" s="111" t="s">
        <v>374</v>
      </c>
      <c r="I693" s="111" t="s">
        <v>1888</v>
      </c>
      <c r="J693" s="111" t="s">
        <v>575</v>
      </c>
    </row>
    <row r="694" ht="18.75" hidden="1" customHeight="1">
      <c r="A694" s="111" t="s">
        <v>1590</v>
      </c>
      <c r="B694" s="111" t="s">
        <v>2281</v>
      </c>
      <c r="C694" s="111" t="s">
        <v>2282</v>
      </c>
      <c r="D694" s="111" t="s">
        <v>1593</v>
      </c>
      <c r="E694" s="111" t="s">
        <v>1594</v>
      </c>
      <c r="F694" s="112">
        <v>300.0</v>
      </c>
      <c r="G694" s="111" t="s">
        <v>1889</v>
      </c>
      <c r="H694" s="111" t="s">
        <v>481</v>
      </c>
      <c r="I694" s="111" t="s">
        <v>1890</v>
      </c>
      <c r="J694" s="111" t="s">
        <v>483</v>
      </c>
    </row>
    <row r="695" ht="18.75" hidden="1" customHeight="1">
      <c r="A695" s="111" t="s">
        <v>1590</v>
      </c>
      <c r="B695" s="111" t="s">
        <v>2281</v>
      </c>
      <c r="C695" s="111" t="s">
        <v>2282</v>
      </c>
      <c r="D695" s="111" t="s">
        <v>1593</v>
      </c>
      <c r="E695" s="111" t="s">
        <v>1594</v>
      </c>
      <c r="F695" s="112">
        <v>300.0</v>
      </c>
      <c r="G695" s="111" t="s">
        <v>1891</v>
      </c>
      <c r="H695" s="111" t="s">
        <v>406</v>
      </c>
      <c r="I695" s="111" t="s">
        <v>1892</v>
      </c>
      <c r="J695" s="111" t="s">
        <v>949</v>
      </c>
    </row>
    <row r="696" ht="18.75" hidden="1" customHeight="1">
      <c r="A696" s="111" t="s">
        <v>1590</v>
      </c>
      <c r="B696" s="111" t="s">
        <v>2281</v>
      </c>
      <c r="C696" s="111" t="s">
        <v>2282</v>
      </c>
      <c r="D696" s="111" t="s">
        <v>1593</v>
      </c>
      <c r="E696" s="111" t="s">
        <v>1594</v>
      </c>
      <c r="F696" s="112">
        <v>300.0</v>
      </c>
      <c r="G696" s="111" t="s">
        <v>1893</v>
      </c>
      <c r="H696" s="111" t="s">
        <v>205</v>
      </c>
      <c r="I696" s="111" t="s">
        <v>1894</v>
      </c>
      <c r="J696" s="111" t="s">
        <v>1207</v>
      </c>
    </row>
    <row r="697" ht="18.75" hidden="1" customHeight="1">
      <c r="A697" s="111" t="s">
        <v>1590</v>
      </c>
      <c r="B697" s="111" t="s">
        <v>2281</v>
      </c>
      <c r="C697" s="111" t="s">
        <v>2282</v>
      </c>
      <c r="D697" s="111" t="s">
        <v>1593</v>
      </c>
      <c r="E697" s="111" t="s">
        <v>1594</v>
      </c>
      <c r="F697" s="112">
        <v>300.0</v>
      </c>
      <c r="G697" s="111" t="s">
        <v>1601</v>
      </c>
      <c r="H697" s="111" t="s">
        <v>1602</v>
      </c>
      <c r="I697" s="111" t="s">
        <v>1603</v>
      </c>
      <c r="J697" s="111" t="s">
        <v>1604</v>
      </c>
    </row>
    <row r="698" ht="18.75" hidden="1" customHeight="1">
      <c r="A698" s="111" t="s">
        <v>1590</v>
      </c>
      <c r="B698" s="111" t="s">
        <v>2281</v>
      </c>
      <c r="C698" s="111" t="s">
        <v>2282</v>
      </c>
      <c r="D698" s="111" t="s">
        <v>1593</v>
      </c>
      <c r="E698" s="111" t="s">
        <v>1594</v>
      </c>
      <c r="F698" s="112">
        <v>300.0</v>
      </c>
      <c r="G698" s="111" t="s">
        <v>1895</v>
      </c>
      <c r="H698" s="111" t="s">
        <v>248</v>
      </c>
      <c r="I698" s="111" t="s">
        <v>1896</v>
      </c>
      <c r="J698" s="111" t="s">
        <v>688</v>
      </c>
    </row>
    <row r="699" ht="18.75" hidden="1" customHeight="1">
      <c r="A699" s="111" t="s">
        <v>1590</v>
      </c>
      <c r="B699" s="111" t="s">
        <v>2281</v>
      </c>
      <c r="C699" s="111" t="s">
        <v>2282</v>
      </c>
      <c r="D699" s="111" t="s">
        <v>1593</v>
      </c>
      <c r="E699" s="111" t="s">
        <v>1594</v>
      </c>
      <c r="F699" s="112">
        <v>300.0</v>
      </c>
      <c r="G699" s="111" t="s">
        <v>1897</v>
      </c>
      <c r="H699" s="111" t="s">
        <v>209</v>
      </c>
      <c r="I699" s="111" t="s">
        <v>1898</v>
      </c>
      <c r="J699" s="111" t="s">
        <v>1116</v>
      </c>
    </row>
    <row r="700" ht="18.75" hidden="1" customHeight="1">
      <c r="A700" s="111" t="s">
        <v>1590</v>
      </c>
      <c r="B700" s="111" t="s">
        <v>2281</v>
      </c>
      <c r="C700" s="111" t="s">
        <v>2282</v>
      </c>
      <c r="D700" s="111" t="s">
        <v>1593</v>
      </c>
      <c r="E700" s="111" t="s">
        <v>1594</v>
      </c>
      <c r="F700" s="112">
        <v>300.0</v>
      </c>
      <c r="G700" s="111" t="s">
        <v>1899</v>
      </c>
      <c r="H700" s="111" t="s">
        <v>1294</v>
      </c>
      <c r="I700" s="111" t="s">
        <v>1900</v>
      </c>
      <c r="J700" s="111" t="s">
        <v>1300</v>
      </c>
    </row>
    <row r="701" ht="18.75" hidden="1" customHeight="1">
      <c r="A701" s="111" t="s">
        <v>1590</v>
      </c>
      <c r="B701" s="111" t="s">
        <v>2281</v>
      </c>
      <c r="C701" s="111" t="s">
        <v>2282</v>
      </c>
      <c r="D701" s="111" t="s">
        <v>1593</v>
      </c>
      <c r="E701" s="111" t="s">
        <v>1594</v>
      </c>
      <c r="F701" s="112">
        <v>300.0</v>
      </c>
      <c r="G701" s="111" t="s">
        <v>1901</v>
      </c>
      <c r="H701" s="111" t="s">
        <v>1902</v>
      </c>
      <c r="I701" s="111" t="s">
        <v>1903</v>
      </c>
      <c r="J701" s="111" t="s">
        <v>1559</v>
      </c>
    </row>
    <row r="702" ht="18.75" hidden="1" customHeight="1">
      <c r="A702" s="111" t="s">
        <v>1590</v>
      </c>
      <c r="B702" s="111" t="s">
        <v>2281</v>
      </c>
      <c r="C702" s="111" t="s">
        <v>2282</v>
      </c>
      <c r="D702" s="111" t="s">
        <v>1593</v>
      </c>
      <c r="E702" s="111" t="s">
        <v>1594</v>
      </c>
      <c r="F702" s="112">
        <v>300.0</v>
      </c>
      <c r="G702" s="111" t="s">
        <v>1904</v>
      </c>
      <c r="H702" s="111" t="s">
        <v>753</v>
      </c>
      <c r="I702" s="111" t="s">
        <v>1905</v>
      </c>
      <c r="J702" s="111" t="s">
        <v>755</v>
      </c>
    </row>
    <row r="703" ht="18.75" hidden="1" customHeight="1">
      <c r="A703" s="111" t="s">
        <v>1590</v>
      </c>
      <c r="B703" s="111" t="s">
        <v>2281</v>
      </c>
      <c r="C703" s="111" t="s">
        <v>2282</v>
      </c>
      <c r="D703" s="111" t="s">
        <v>1593</v>
      </c>
      <c r="E703" s="111" t="s">
        <v>1594</v>
      </c>
      <c r="F703" s="112">
        <v>300.0</v>
      </c>
      <c r="G703" s="111" t="s">
        <v>1906</v>
      </c>
      <c r="H703" s="111" t="s">
        <v>1368</v>
      </c>
      <c r="I703" s="111" t="s">
        <v>1907</v>
      </c>
      <c r="J703" s="111" t="s">
        <v>1370</v>
      </c>
    </row>
    <row r="704" ht="18.75" hidden="1" customHeight="1">
      <c r="A704" s="111" t="s">
        <v>1590</v>
      </c>
      <c r="B704" s="111" t="s">
        <v>2281</v>
      </c>
      <c r="C704" s="111" t="s">
        <v>2282</v>
      </c>
      <c r="D704" s="111" t="s">
        <v>1593</v>
      </c>
      <c r="E704" s="111" t="s">
        <v>1594</v>
      </c>
      <c r="F704" s="112">
        <v>300.0</v>
      </c>
      <c r="G704" s="111" t="s">
        <v>1908</v>
      </c>
      <c r="H704" s="111" t="s">
        <v>1051</v>
      </c>
      <c r="I704" s="111" t="s">
        <v>1909</v>
      </c>
      <c r="J704" s="111" t="s">
        <v>1050</v>
      </c>
    </row>
    <row r="705" ht="18.75" hidden="1" customHeight="1">
      <c r="A705" s="111" t="s">
        <v>1590</v>
      </c>
      <c r="B705" s="111" t="s">
        <v>2281</v>
      </c>
      <c r="C705" s="111" t="s">
        <v>2282</v>
      </c>
      <c r="D705" s="111" t="s">
        <v>1593</v>
      </c>
      <c r="E705" s="111" t="s">
        <v>1594</v>
      </c>
      <c r="F705" s="112">
        <v>300.0</v>
      </c>
      <c r="G705" s="111" t="s">
        <v>1910</v>
      </c>
      <c r="H705" s="111" t="s">
        <v>95</v>
      </c>
      <c r="I705" s="111" t="s">
        <v>1911</v>
      </c>
      <c r="J705" s="111" t="s">
        <v>1076</v>
      </c>
    </row>
    <row r="706" ht="18.75" hidden="1" customHeight="1">
      <c r="A706" s="111" t="s">
        <v>1590</v>
      </c>
      <c r="B706" s="111" t="s">
        <v>2281</v>
      </c>
      <c r="C706" s="111" t="s">
        <v>2282</v>
      </c>
      <c r="D706" s="111" t="s">
        <v>1593</v>
      </c>
      <c r="E706" s="111" t="s">
        <v>1594</v>
      </c>
      <c r="F706" s="112">
        <v>300.0</v>
      </c>
      <c r="G706" s="111" t="s">
        <v>1912</v>
      </c>
      <c r="H706" s="111" t="s">
        <v>181</v>
      </c>
      <c r="I706" s="111" t="s">
        <v>1913</v>
      </c>
      <c r="J706" s="111" t="s">
        <v>765</v>
      </c>
    </row>
    <row r="707" ht="18.75" hidden="1" customHeight="1">
      <c r="A707" s="111" t="s">
        <v>1590</v>
      </c>
      <c r="B707" s="111" t="s">
        <v>2281</v>
      </c>
      <c r="C707" s="111" t="s">
        <v>2282</v>
      </c>
      <c r="D707" s="111" t="s">
        <v>1593</v>
      </c>
      <c r="E707" s="111" t="s">
        <v>1594</v>
      </c>
      <c r="F707" s="112">
        <v>300.0</v>
      </c>
      <c r="G707" s="111" t="s">
        <v>1914</v>
      </c>
      <c r="H707" s="111" t="s">
        <v>733</v>
      </c>
      <c r="I707" s="111" t="s">
        <v>1915</v>
      </c>
      <c r="J707" s="111" t="s">
        <v>736</v>
      </c>
    </row>
    <row r="708" ht="18.75" hidden="1" customHeight="1">
      <c r="A708" s="111" t="s">
        <v>1590</v>
      </c>
      <c r="B708" s="111" t="s">
        <v>2281</v>
      </c>
      <c r="C708" s="111" t="s">
        <v>2282</v>
      </c>
      <c r="D708" s="111" t="s">
        <v>1593</v>
      </c>
      <c r="E708" s="111" t="s">
        <v>1594</v>
      </c>
      <c r="F708" s="112">
        <v>300.0</v>
      </c>
      <c r="G708" s="111" t="s">
        <v>1916</v>
      </c>
      <c r="H708" s="111" t="s">
        <v>238</v>
      </c>
      <c r="I708" s="111" t="s">
        <v>1917</v>
      </c>
      <c r="J708" s="111" t="s">
        <v>729</v>
      </c>
    </row>
    <row r="709" ht="18.75" hidden="1" customHeight="1">
      <c r="A709" s="111" t="s">
        <v>1590</v>
      </c>
      <c r="B709" s="111" t="s">
        <v>2281</v>
      </c>
      <c r="C709" s="111" t="s">
        <v>2282</v>
      </c>
      <c r="D709" s="111" t="s">
        <v>1593</v>
      </c>
      <c r="E709" s="111" t="s">
        <v>1594</v>
      </c>
      <c r="F709" s="112">
        <v>300.0</v>
      </c>
      <c r="G709" s="111" t="s">
        <v>1918</v>
      </c>
      <c r="H709" s="111" t="s">
        <v>216</v>
      </c>
      <c r="I709" s="111" t="s">
        <v>1919</v>
      </c>
      <c r="J709" s="111" t="s">
        <v>215</v>
      </c>
    </row>
    <row r="710" ht="18.75" hidden="1" customHeight="1">
      <c r="A710" s="111" t="s">
        <v>1590</v>
      </c>
      <c r="B710" s="111" t="s">
        <v>2281</v>
      </c>
      <c r="C710" s="111" t="s">
        <v>2282</v>
      </c>
      <c r="D710" s="111" t="s">
        <v>1593</v>
      </c>
      <c r="E710" s="111" t="s">
        <v>1594</v>
      </c>
      <c r="F710" s="112">
        <v>300.0</v>
      </c>
      <c r="G710" s="111" t="s">
        <v>1920</v>
      </c>
      <c r="H710" s="111" t="s">
        <v>403</v>
      </c>
      <c r="I710" s="111" t="s">
        <v>1921</v>
      </c>
      <c r="J710" s="111" t="s">
        <v>501</v>
      </c>
    </row>
    <row r="711" ht="18.75" hidden="1" customHeight="1">
      <c r="A711" s="111" t="s">
        <v>1590</v>
      </c>
      <c r="B711" s="111" t="s">
        <v>2281</v>
      </c>
      <c r="C711" s="111" t="s">
        <v>2282</v>
      </c>
      <c r="D711" s="111" t="s">
        <v>1593</v>
      </c>
      <c r="E711" s="111" t="s">
        <v>1594</v>
      </c>
      <c r="F711" s="112">
        <v>300.0</v>
      </c>
      <c r="G711" s="111" t="s">
        <v>1922</v>
      </c>
      <c r="H711" s="111" t="s">
        <v>1505</v>
      </c>
      <c r="I711" s="111" t="s">
        <v>1923</v>
      </c>
      <c r="J711" s="111" t="s">
        <v>1507</v>
      </c>
    </row>
    <row r="712" ht="18.75" hidden="1" customHeight="1">
      <c r="A712" s="111" t="s">
        <v>1590</v>
      </c>
      <c r="B712" s="111" t="s">
        <v>2281</v>
      </c>
      <c r="C712" s="111" t="s">
        <v>2282</v>
      </c>
      <c r="D712" s="111" t="s">
        <v>1593</v>
      </c>
      <c r="E712" s="111" t="s">
        <v>1594</v>
      </c>
      <c r="F712" s="112">
        <v>300.0</v>
      </c>
      <c r="G712" s="111" t="s">
        <v>1924</v>
      </c>
      <c r="H712" s="111" t="s">
        <v>306</v>
      </c>
      <c r="I712" s="111" t="s">
        <v>1925</v>
      </c>
      <c r="J712" s="111" t="s">
        <v>304</v>
      </c>
    </row>
    <row r="713" ht="18.75" hidden="1" customHeight="1">
      <c r="A713" s="111" t="s">
        <v>1590</v>
      </c>
      <c r="B713" s="111" t="s">
        <v>2281</v>
      </c>
      <c r="C713" s="111" t="s">
        <v>2282</v>
      </c>
      <c r="D713" s="111" t="s">
        <v>1593</v>
      </c>
      <c r="E713" s="111" t="s">
        <v>1594</v>
      </c>
      <c r="F713" s="112">
        <v>300.0</v>
      </c>
      <c r="G713" s="111" t="s">
        <v>1926</v>
      </c>
      <c r="H713" s="111" t="s">
        <v>1057</v>
      </c>
      <c r="I713" s="111" t="s">
        <v>1927</v>
      </c>
      <c r="J713" s="111" t="s">
        <v>1055</v>
      </c>
    </row>
    <row r="714" ht="18.75" hidden="1" customHeight="1">
      <c r="A714" s="111" t="s">
        <v>1590</v>
      </c>
      <c r="B714" s="111" t="s">
        <v>2281</v>
      </c>
      <c r="C714" s="111" t="s">
        <v>2282</v>
      </c>
      <c r="D714" s="111" t="s">
        <v>1593</v>
      </c>
      <c r="E714" s="111" t="s">
        <v>1594</v>
      </c>
      <c r="F714" s="112">
        <v>300.0</v>
      </c>
      <c r="G714" s="111" t="s">
        <v>1928</v>
      </c>
      <c r="H714" s="111" t="s">
        <v>115</v>
      </c>
      <c r="I714" s="111" t="s">
        <v>1929</v>
      </c>
      <c r="J714" s="111" t="s">
        <v>689</v>
      </c>
    </row>
    <row r="715" ht="18.75" hidden="1" customHeight="1">
      <c r="A715" s="111" t="s">
        <v>1590</v>
      </c>
      <c r="B715" s="111" t="s">
        <v>2281</v>
      </c>
      <c r="C715" s="111" t="s">
        <v>2282</v>
      </c>
      <c r="D715" s="111" t="s">
        <v>1593</v>
      </c>
      <c r="E715" s="111" t="s">
        <v>1594</v>
      </c>
      <c r="F715" s="112">
        <v>300.0</v>
      </c>
      <c r="G715" s="111" t="s">
        <v>1930</v>
      </c>
      <c r="H715" s="111" t="s">
        <v>1525</v>
      </c>
      <c r="I715" s="111" t="s">
        <v>1931</v>
      </c>
      <c r="J715" s="111" t="s">
        <v>1527</v>
      </c>
    </row>
    <row r="716" ht="18.75" hidden="1" customHeight="1">
      <c r="A716" s="111" t="s">
        <v>1590</v>
      </c>
      <c r="B716" s="111" t="s">
        <v>2281</v>
      </c>
      <c r="C716" s="111" t="s">
        <v>2282</v>
      </c>
      <c r="D716" s="111" t="s">
        <v>1593</v>
      </c>
      <c r="E716" s="111" t="s">
        <v>1594</v>
      </c>
      <c r="F716" s="112">
        <v>300.0</v>
      </c>
      <c r="G716" s="111" t="s">
        <v>1932</v>
      </c>
      <c r="H716" s="111" t="s">
        <v>275</v>
      </c>
      <c r="I716" s="111" t="s">
        <v>1933</v>
      </c>
      <c r="J716" s="111" t="s">
        <v>1236</v>
      </c>
    </row>
    <row r="717" ht="18.75" hidden="1" customHeight="1">
      <c r="A717" s="111" t="s">
        <v>1590</v>
      </c>
      <c r="B717" s="111" t="s">
        <v>2281</v>
      </c>
      <c r="C717" s="111" t="s">
        <v>2282</v>
      </c>
      <c r="D717" s="111" t="s">
        <v>1593</v>
      </c>
      <c r="E717" s="111" t="s">
        <v>1594</v>
      </c>
      <c r="F717" s="112">
        <v>300.0</v>
      </c>
      <c r="G717" s="111" t="s">
        <v>1934</v>
      </c>
      <c r="H717" s="111" t="s">
        <v>121</v>
      </c>
      <c r="I717" s="111" t="s">
        <v>1935</v>
      </c>
      <c r="J717" s="111" t="s">
        <v>702</v>
      </c>
    </row>
    <row r="718" ht="18.75" hidden="1" customHeight="1">
      <c r="A718" s="111" t="s">
        <v>1590</v>
      </c>
      <c r="B718" s="111" t="s">
        <v>2281</v>
      </c>
      <c r="C718" s="111" t="s">
        <v>2282</v>
      </c>
      <c r="D718" s="111" t="s">
        <v>1593</v>
      </c>
      <c r="E718" s="111" t="s">
        <v>1594</v>
      </c>
      <c r="F718" s="112">
        <v>300.0</v>
      </c>
      <c r="G718" s="111" t="s">
        <v>1936</v>
      </c>
      <c r="H718" s="111" t="s">
        <v>135</v>
      </c>
      <c r="I718" s="111" t="s">
        <v>1937</v>
      </c>
      <c r="J718" s="111" t="s">
        <v>1457</v>
      </c>
    </row>
    <row r="719" ht="18.75" hidden="1" customHeight="1">
      <c r="A719" s="111" t="s">
        <v>1590</v>
      </c>
      <c r="B719" s="111" t="s">
        <v>2281</v>
      </c>
      <c r="C719" s="111" t="s">
        <v>2282</v>
      </c>
      <c r="D719" s="111" t="s">
        <v>1593</v>
      </c>
      <c r="E719" s="111" t="s">
        <v>1594</v>
      </c>
      <c r="F719" s="112">
        <v>300.0</v>
      </c>
      <c r="G719" s="111" t="s">
        <v>1938</v>
      </c>
      <c r="H719" s="111" t="s">
        <v>661</v>
      </c>
      <c r="I719" s="111" t="s">
        <v>1939</v>
      </c>
      <c r="J719" s="111" t="s">
        <v>663</v>
      </c>
    </row>
    <row r="720" ht="18.75" hidden="1" customHeight="1">
      <c r="A720" s="111" t="s">
        <v>1590</v>
      </c>
      <c r="B720" s="111" t="s">
        <v>2281</v>
      </c>
      <c r="C720" s="111" t="s">
        <v>2282</v>
      </c>
      <c r="D720" s="111" t="s">
        <v>1593</v>
      </c>
      <c r="E720" s="111" t="s">
        <v>1594</v>
      </c>
      <c r="F720" s="112">
        <v>300.0</v>
      </c>
      <c r="G720" s="111" t="s">
        <v>1940</v>
      </c>
      <c r="H720" s="111" t="s">
        <v>118</v>
      </c>
      <c r="I720" s="111" t="s">
        <v>1941</v>
      </c>
      <c r="J720" s="111" t="s">
        <v>676</v>
      </c>
    </row>
    <row r="721" ht="18.75" hidden="1" customHeight="1">
      <c r="A721" s="111" t="s">
        <v>1590</v>
      </c>
      <c r="B721" s="111" t="s">
        <v>2281</v>
      </c>
      <c r="C721" s="111" t="s">
        <v>2282</v>
      </c>
      <c r="D721" s="111" t="s">
        <v>1593</v>
      </c>
      <c r="E721" s="111" t="s">
        <v>1594</v>
      </c>
      <c r="F721" s="112">
        <v>300.0</v>
      </c>
      <c r="G721" s="111" t="s">
        <v>1942</v>
      </c>
      <c r="H721" s="111" t="s">
        <v>147</v>
      </c>
      <c r="I721" s="111" t="s">
        <v>1943</v>
      </c>
      <c r="J721" s="111" t="s">
        <v>592</v>
      </c>
    </row>
    <row r="722" ht="18.75" hidden="1" customHeight="1">
      <c r="A722" s="111" t="s">
        <v>1590</v>
      </c>
      <c r="B722" s="111" t="s">
        <v>2281</v>
      </c>
      <c r="C722" s="111" t="s">
        <v>2282</v>
      </c>
      <c r="D722" s="111" t="s">
        <v>1593</v>
      </c>
      <c r="E722" s="111" t="s">
        <v>1594</v>
      </c>
      <c r="F722" s="112">
        <v>300.0</v>
      </c>
      <c r="G722" s="111" t="s">
        <v>1944</v>
      </c>
      <c r="H722" s="111" t="s">
        <v>1945</v>
      </c>
      <c r="I722" s="111" t="s">
        <v>1946</v>
      </c>
      <c r="J722" s="111" t="s">
        <v>1947</v>
      </c>
    </row>
    <row r="723" ht="18.75" hidden="1" customHeight="1">
      <c r="A723" s="111" t="s">
        <v>1590</v>
      </c>
      <c r="B723" s="111" t="s">
        <v>2281</v>
      </c>
      <c r="C723" s="111" t="s">
        <v>2282</v>
      </c>
      <c r="D723" s="111" t="s">
        <v>1593</v>
      </c>
      <c r="E723" s="111" t="s">
        <v>1594</v>
      </c>
      <c r="F723" s="112">
        <v>300.0</v>
      </c>
      <c r="G723" s="111" t="s">
        <v>1948</v>
      </c>
      <c r="H723" s="111" t="s">
        <v>516</v>
      </c>
      <c r="I723" s="111" t="s">
        <v>1949</v>
      </c>
      <c r="J723" s="111" t="s">
        <v>515</v>
      </c>
    </row>
    <row r="724" ht="18.75" hidden="1" customHeight="1">
      <c r="A724" s="111" t="s">
        <v>1590</v>
      </c>
      <c r="B724" s="111" t="s">
        <v>2281</v>
      </c>
      <c r="C724" s="111" t="s">
        <v>2282</v>
      </c>
      <c r="D724" s="111" t="s">
        <v>1593</v>
      </c>
      <c r="E724" s="111" t="s">
        <v>1594</v>
      </c>
      <c r="F724" s="112">
        <v>300.0</v>
      </c>
      <c r="G724" s="111" t="s">
        <v>1950</v>
      </c>
      <c r="H724" s="111" t="s">
        <v>1473</v>
      </c>
      <c r="I724" s="111" t="s">
        <v>1951</v>
      </c>
      <c r="J724" s="111" t="s">
        <v>1472</v>
      </c>
    </row>
    <row r="725" ht="18.75" hidden="1" customHeight="1">
      <c r="A725" s="111" t="s">
        <v>1590</v>
      </c>
      <c r="B725" s="111" t="s">
        <v>2281</v>
      </c>
      <c r="C725" s="111" t="s">
        <v>2282</v>
      </c>
      <c r="D725" s="111" t="s">
        <v>1593</v>
      </c>
      <c r="E725" s="111" t="s">
        <v>1594</v>
      </c>
      <c r="F725" s="112">
        <v>300.0</v>
      </c>
      <c r="G725" s="111" t="s">
        <v>1952</v>
      </c>
      <c r="H725" s="111" t="s">
        <v>133</v>
      </c>
      <c r="I725" s="111" t="s">
        <v>1953</v>
      </c>
      <c r="J725" s="111" t="s">
        <v>742</v>
      </c>
    </row>
    <row r="726" ht="18.75" hidden="1" customHeight="1">
      <c r="A726" s="111" t="s">
        <v>1590</v>
      </c>
      <c r="B726" s="111" t="s">
        <v>2281</v>
      </c>
      <c r="C726" s="111" t="s">
        <v>2282</v>
      </c>
      <c r="D726" s="111" t="s">
        <v>1593</v>
      </c>
      <c r="E726" s="111" t="s">
        <v>1594</v>
      </c>
      <c r="F726" s="112">
        <v>300.0</v>
      </c>
      <c r="G726" s="111" t="s">
        <v>1954</v>
      </c>
      <c r="H726" s="111" t="s">
        <v>102</v>
      </c>
      <c r="I726" s="111" t="s">
        <v>1955</v>
      </c>
      <c r="J726" s="111" t="s">
        <v>1397</v>
      </c>
    </row>
    <row r="727" ht="18.75" hidden="1" customHeight="1">
      <c r="A727" s="111" t="s">
        <v>1590</v>
      </c>
      <c r="B727" s="111" t="s">
        <v>2281</v>
      </c>
      <c r="C727" s="111" t="s">
        <v>2282</v>
      </c>
      <c r="D727" s="111" t="s">
        <v>1593</v>
      </c>
      <c r="E727" s="111" t="s">
        <v>1594</v>
      </c>
      <c r="F727" s="112">
        <v>300.0</v>
      </c>
      <c r="G727" s="111" t="s">
        <v>1956</v>
      </c>
      <c r="H727" s="111" t="s">
        <v>326</v>
      </c>
      <c r="I727" s="111" t="s">
        <v>1957</v>
      </c>
      <c r="J727" s="111" t="s">
        <v>1521</v>
      </c>
    </row>
    <row r="728" ht="18.75" hidden="1" customHeight="1">
      <c r="A728" s="111" t="s">
        <v>1590</v>
      </c>
      <c r="B728" s="111" t="s">
        <v>2281</v>
      </c>
      <c r="C728" s="111" t="s">
        <v>2282</v>
      </c>
      <c r="D728" s="111" t="s">
        <v>1593</v>
      </c>
      <c r="E728" s="111" t="s">
        <v>1594</v>
      </c>
      <c r="F728" s="112">
        <v>300.0</v>
      </c>
      <c r="G728" s="111" t="s">
        <v>1958</v>
      </c>
      <c r="H728" s="111" t="s">
        <v>246</v>
      </c>
      <c r="I728" s="111" t="s">
        <v>1959</v>
      </c>
      <c r="J728" s="111" t="s">
        <v>1020</v>
      </c>
    </row>
    <row r="729" ht="18.75" hidden="1" customHeight="1">
      <c r="A729" s="111" t="s">
        <v>1590</v>
      </c>
      <c r="B729" s="111" t="s">
        <v>2281</v>
      </c>
      <c r="C729" s="111" t="s">
        <v>2282</v>
      </c>
      <c r="D729" s="111" t="s">
        <v>1593</v>
      </c>
      <c r="E729" s="111" t="s">
        <v>1594</v>
      </c>
      <c r="F729" s="112">
        <v>300.0</v>
      </c>
      <c r="G729" s="111" t="s">
        <v>1961</v>
      </c>
      <c r="H729" s="111" t="s">
        <v>230</v>
      </c>
      <c r="I729" s="111" t="s">
        <v>1962</v>
      </c>
      <c r="J729" s="111" t="s">
        <v>1174</v>
      </c>
    </row>
    <row r="730" ht="18.75" hidden="1" customHeight="1">
      <c r="A730" s="111" t="s">
        <v>1590</v>
      </c>
      <c r="B730" s="111" t="s">
        <v>2281</v>
      </c>
      <c r="C730" s="111" t="s">
        <v>2282</v>
      </c>
      <c r="D730" s="111" t="s">
        <v>1593</v>
      </c>
      <c r="E730" s="111" t="s">
        <v>1594</v>
      </c>
      <c r="F730" s="112">
        <v>300.0</v>
      </c>
      <c r="G730" s="111" t="s">
        <v>1963</v>
      </c>
      <c r="H730" s="111" t="s">
        <v>543</v>
      </c>
      <c r="I730" s="111" t="s">
        <v>1964</v>
      </c>
      <c r="J730" s="111" t="s">
        <v>545</v>
      </c>
    </row>
    <row r="731" ht="18.75" hidden="1" customHeight="1">
      <c r="A731" s="111" t="s">
        <v>1590</v>
      </c>
      <c r="B731" s="111" t="s">
        <v>2281</v>
      </c>
      <c r="C731" s="111" t="s">
        <v>2282</v>
      </c>
      <c r="D731" s="111" t="s">
        <v>1593</v>
      </c>
      <c r="E731" s="111" t="s">
        <v>1594</v>
      </c>
      <c r="F731" s="112">
        <v>300.0</v>
      </c>
      <c r="G731" s="111" t="s">
        <v>1967</v>
      </c>
      <c r="H731" s="111" t="s">
        <v>1384</v>
      </c>
      <c r="I731" s="111" t="s">
        <v>1968</v>
      </c>
      <c r="J731" s="111" t="s">
        <v>1383</v>
      </c>
    </row>
    <row r="732" ht="18.75" hidden="1" customHeight="1">
      <c r="A732" s="111" t="s">
        <v>1590</v>
      </c>
      <c r="B732" s="111" t="s">
        <v>2281</v>
      </c>
      <c r="C732" s="111" t="s">
        <v>2282</v>
      </c>
      <c r="D732" s="111" t="s">
        <v>1593</v>
      </c>
      <c r="E732" s="111" t="s">
        <v>1594</v>
      </c>
      <c r="F732" s="112">
        <v>300.0</v>
      </c>
      <c r="G732" s="111" t="s">
        <v>1969</v>
      </c>
      <c r="H732" s="111" t="s">
        <v>1476</v>
      </c>
      <c r="I732" s="111" t="s">
        <v>1970</v>
      </c>
      <c r="J732" s="111" t="s">
        <v>1481</v>
      </c>
    </row>
    <row r="733" ht="18.75" hidden="1" customHeight="1">
      <c r="A733" s="111" t="s">
        <v>1590</v>
      </c>
      <c r="B733" s="111" t="s">
        <v>2281</v>
      </c>
      <c r="C733" s="111" t="s">
        <v>2282</v>
      </c>
      <c r="D733" s="111" t="s">
        <v>1593</v>
      </c>
      <c r="E733" s="111" t="s">
        <v>1594</v>
      </c>
      <c r="F733" s="112">
        <v>300.0</v>
      </c>
      <c r="G733" s="111" t="s">
        <v>1971</v>
      </c>
      <c r="H733" s="111" t="s">
        <v>120</v>
      </c>
      <c r="I733" s="111" t="s">
        <v>1972</v>
      </c>
      <c r="J733" s="111" t="s">
        <v>823</v>
      </c>
    </row>
    <row r="734" ht="18.75" hidden="1" customHeight="1">
      <c r="A734" s="111" t="s">
        <v>1590</v>
      </c>
      <c r="B734" s="111" t="s">
        <v>2281</v>
      </c>
      <c r="C734" s="111" t="s">
        <v>2282</v>
      </c>
      <c r="D734" s="111" t="s">
        <v>1593</v>
      </c>
      <c r="E734" s="111" t="s">
        <v>1594</v>
      </c>
      <c r="F734" s="112">
        <v>300.0</v>
      </c>
      <c r="G734" s="111" t="s">
        <v>1973</v>
      </c>
      <c r="H734" s="111" t="s">
        <v>373</v>
      </c>
      <c r="I734" s="111" t="s">
        <v>1974</v>
      </c>
      <c r="J734" s="111" t="s">
        <v>562</v>
      </c>
    </row>
    <row r="735" ht="18.75" hidden="1" customHeight="1">
      <c r="A735" s="111" t="s">
        <v>1590</v>
      </c>
      <c r="B735" s="111" t="s">
        <v>2281</v>
      </c>
      <c r="C735" s="111" t="s">
        <v>2282</v>
      </c>
      <c r="D735" s="111" t="s">
        <v>1593</v>
      </c>
      <c r="E735" s="111" t="s">
        <v>1594</v>
      </c>
      <c r="F735" s="112">
        <v>300.0</v>
      </c>
      <c r="G735" s="111" t="s">
        <v>1975</v>
      </c>
      <c r="H735" s="111" t="s">
        <v>1271</v>
      </c>
      <c r="I735" s="111" t="s">
        <v>1976</v>
      </c>
      <c r="J735" s="111" t="s">
        <v>1270</v>
      </c>
    </row>
    <row r="736" ht="18.75" hidden="1" customHeight="1">
      <c r="A736" s="111" t="s">
        <v>1590</v>
      </c>
      <c r="B736" s="111" t="s">
        <v>2281</v>
      </c>
      <c r="C736" s="111" t="s">
        <v>2282</v>
      </c>
      <c r="D736" s="111" t="s">
        <v>1593</v>
      </c>
      <c r="E736" s="111" t="s">
        <v>1594</v>
      </c>
      <c r="F736" s="112">
        <v>300.0</v>
      </c>
      <c r="G736" s="111" t="s">
        <v>1977</v>
      </c>
      <c r="H736" s="111" t="s">
        <v>287</v>
      </c>
      <c r="I736" s="111" t="s">
        <v>1978</v>
      </c>
      <c r="J736" s="111" t="s">
        <v>1138</v>
      </c>
    </row>
    <row r="737" ht="18.75" hidden="1" customHeight="1">
      <c r="A737" s="111" t="s">
        <v>1590</v>
      </c>
      <c r="B737" s="111" t="s">
        <v>2281</v>
      </c>
      <c r="C737" s="111" t="s">
        <v>2282</v>
      </c>
      <c r="D737" s="111" t="s">
        <v>1593</v>
      </c>
      <c r="E737" s="111" t="s">
        <v>1594</v>
      </c>
      <c r="F737" s="112">
        <v>300.0</v>
      </c>
      <c r="G737" s="111" t="s">
        <v>1979</v>
      </c>
      <c r="H737" s="111" t="s">
        <v>242</v>
      </c>
      <c r="I737" s="111" t="s">
        <v>1980</v>
      </c>
      <c r="J737" s="111" t="s">
        <v>1210</v>
      </c>
    </row>
    <row r="738" ht="18.75" hidden="1" customHeight="1">
      <c r="A738" s="111" t="s">
        <v>1590</v>
      </c>
      <c r="B738" s="111" t="s">
        <v>2281</v>
      </c>
      <c r="C738" s="111" t="s">
        <v>2282</v>
      </c>
      <c r="D738" s="111" t="s">
        <v>1593</v>
      </c>
      <c r="E738" s="111" t="s">
        <v>1594</v>
      </c>
      <c r="F738" s="112">
        <v>300.0</v>
      </c>
      <c r="G738" s="111" t="s">
        <v>1981</v>
      </c>
      <c r="H738" s="111" t="s">
        <v>1196</v>
      </c>
      <c r="I738" s="111" t="s">
        <v>1982</v>
      </c>
      <c r="J738" s="111" t="s">
        <v>1198</v>
      </c>
    </row>
    <row r="739" ht="18.75" hidden="1" customHeight="1">
      <c r="A739" s="111" t="s">
        <v>1590</v>
      </c>
      <c r="B739" s="111" t="s">
        <v>2281</v>
      </c>
      <c r="C739" s="111" t="s">
        <v>2282</v>
      </c>
      <c r="D739" s="111" t="s">
        <v>1593</v>
      </c>
      <c r="E739" s="111" t="s">
        <v>1594</v>
      </c>
      <c r="F739" s="112">
        <v>300.0</v>
      </c>
      <c r="G739" s="111" t="s">
        <v>1983</v>
      </c>
      <c r="H739" s="111" t="s">
        <v>160</v>
      </c>
      <c r="I739" s="111" t="s">
        <v>1984</v>
      </c>
      <c r="J739" s="111" t="s">
        <v>706</v>
      </c>
    </row>
    <row r="740" ht="18.75" hidden="1" customHeight="1">
      <c r="A740" s="111" t="s">
        <v>1590</v>
      </c>
      <c r="B740" s="111" t="s">
        <v>2281</v>
      </c>
      <c r="C740" s="111" t="s">
        <v>2282</v>
      </c>
      <c r="D740" s="111" t="s">
        <v>1593</v>
      </c>
      <c r="E740" s="111" t="s">
        <v>1594</v>
      </c>
      <c r="F740" s="112">
        <v>300.0</v>
      </c>
      <c r="G740" s="111" t="s">
        <v>1985</v>
      </c>
      <c r="H740" s="111" t="s">
        <v>249</v>
      </c>
      <c r="I740" s="111" t="s">
        <v>1986</v>
      </c>
      <c r="J740" s="111" t="s">
        <v>1245</v>
      </c>
    </row>
    <row r="741" ht="18.75" hidden="1" customHeight="1">
      <c r="A741" s="111" t="s">
        <v>1590</v>
      </c>
      <c r="B741" s="111" t="s">
        <v>2281</v>
      </c>
      <c r="C741" s="111" t="s">
        <v>2282</v>
      </c>
      <c r="D741" s="111" t="s">
        <v>1593</v>
      </c>
      <c r="E741" s="111" t="s">
        <v>1594</v>
      </c>
      <c r="F741" s="112">
        <v>300.0</v>
      </c>
      <c r="G741" s="111" t="s">
        <v>1987</v>
      </c>
      <c r="H741" s="111" t="s">
        <v>332</v>
      </c>
      <c r="I741" s="111" t="s">
        <v>1988</v>
      </c>
      <c r="J741" s="111" t="s">
        <v>484</v>
      </c>
    </row>
    <row r="742" ht="18.75" hidden="1" customHeight="1">
      <c r="A742" s="111" t="s">
        <v>1590</v>
      </c>
      <c r="B742" s="111" t="s">
        <v>2281</v>
      </c>
      <c r="C742" s="111" t="s">
        <v>2282</v>
      </c>
      <c r="D742" s="111" t="s">
        <v>1593</v>
      </c>
      <c r="E742" s="111" t="s">
        <v>1594</v>
      </c>
      <c r="F742" s="112">
        <v>300.0</v>
      </c>
      <c r="G742" s="111" t="s">
        <v>1989</v>
      </c>
      <c r="H742" s="111" t="s">
        <v>747</v>
      </c>
      <c r="I742" s="111" t="s">
        <v>1990</v>
      </c>
      <c r="J742" s="111" t="s">
        <v>749</v>
      </c>
    </row>
    <row r="743" ht="18.75" hidden="1" customHeight="1">
      <c r="A743" s="111" t="s">
        <v>1590</v>
      </c>
      <c r="B743" s="111" t="s">
        <v>2281</v>
      </c>
      <c r="C743" s="111" t="s">
        <v>2282</v>
      </c>
      <c r="D743" s="111" t="s">
        <v>1593</v>
      </c>
      <c r="E743" s="111" t="s">
        <v>1594</v>
      </c>
      <c r="F743" s="112">
        <v>300.0</v>
      </c>
      <c r="G743" s="111" t="s">
        <v>1991</v>
      </c>
      <c r="H743" s="111" t="s">
        <v>213</v>
      </c>
      <c r="I743" s="111" t="s">
        <v>1992</v>
      </c>
      <c r="J743" s="111" t="s">
        <v>957</v>
      </c>
    </row>
    <row r="744" ht="18.75" hidden="1" customHeight="1">
      <c r="A744" s="111" t="s">
        <v>1590</v>
      </c>
      <c r="B744" s="111" t="s">
        <v>2281</v>
      </c>
      <c r="C744" s="111" t="s">
        <v>2282</v>
      </c>
      <c r="D744" s="111" t="s">
        <v>1593</v>
      </c>
      <c r="E744" s="111" t="s">
        <v>1594</v>
      </c>
      <c r="F744" s="112">
        <v>300.0</v>
      </c>
      <c r="G744" s="111" t="s">
        <v>1993</v>
      </c>
      <c r="H744" s="111" t="s">
        <v>554</v>
      </c>
      <c r="I744" s="111" t="s">
        <v>1994</v>
      </c>
      <c r="J744" s="111" t="s">
        <v>559</v>
      </c>
    </row>
    <row r="745" ht="18.75" hidden="1" customHeight="1">
      <c r="A745" s="111" t="s">
        <v>1590</v>
      </c>
      <c r="B745" s="111" t="s">
        <v>2281</v>
      </c>
      <c r="C745" s="111" t="s">
        <v>2282</v>
      </c>
      <c r="D745" s="111" t="s">
        <v>1593</v>
      </c>
      <c r="E745" s="111" t="s">
        <v>1594</v>
      </c>
      <c r="F745" s="112">
        <v>300.0</v>
      </c>
      <c r="G745" s="111" t="s">
        <v>1605</v>
      </c>
      <c r="H745" s="111" t="s">
        <v>1606</v>
      </c>
      <c r="I745" s="111" t="s">
        <v>1607</v>
      </c>
      <c r="J745" s="111" t="s">
        <v>1608</v>
      </c>
    </row>
    <row r="746" ht="18.75" hidden="1" customHeight="1">
      <c r="A746" s="111" t="s">
        <v>1590</v>
      </c>
      <c r="B746" s="111" t="s">
        <v>2281</v>
      </c>
      <c r="C746" s="111" t="s">
        <v>2282</v>
      </c>
      <c r="D746" s="111" t="s">
        <v>1593</v>
      </c>
      <c r="E746" s="111" t="s">
        <v>1594</v>
      </c>
      <c r="F746" s="112">
        <v>300.0</v>
      </c>
      <c r="G746" s="111" t="s">
        <v>1995</v>
      </c>
      <c r="H746" s="111" t="s">
        <v>978</v>
      </c>
      <c r="I746" s="111" t="s">
        <v>1996</v>
      </c>
      <c r="J746" s="111" t="s">
        <v>977</v>
      </c>
    </row>
    <row r="747" ht="18.75" hidden="1" customHeight="1">
      <c r="A747" s="111" t="s">
        <v>1590</v>
      </c>
      <c r="B747" s="111" t="s">
        <v>2281</v>
      </c>
      <c r="C747" s="111" t="s">
        <v>2282</v>
      </c>
      <c r="D747" s="111" t="s">
        <v>1593</v>
      </c>
      <c r="E747" s="111" t="s">
        <v>1594</v>
      </c>
      <c r="F747" s="112">
        <v>300.0</v>
      </c>
      <c r="G747" s="111" t="s">
        <v>1997</v>
      </c>
      <c r="H747" s="111" t="s">
        <v>1166</v>
      </c>
      <c r="I747" s="111" t="s">
        <v>1998</v>
      </c>
      <c r="J747" s="111" t="s">
        <v>1165</v>
      </c>
    </row>
    <row r="748" ht="18.75" hidden="1" customHeight="1">
      <c r="A748" s="111" t="s">
        <v>1590</v>
      </c>
      <c r="B748" s="111" t="s">
        <v>2281</v>
      </c>
      <c r="C748" s="111" t="s">
        <v>2282</v>
      </c>
      <c r="D748" s="111" t="s">
        <v>1593</v>
      </c>
      <c r="E748" s="111" t="s">
        <v>1594</v>
      </c>
      <c r="F748" s="112">
        <v>300.0</v>
      </c>
      <c r="G748" s="111" t="s">
        <v>1999</v>
      </c>
      <c r="H748" s="111" t="s">
        <v>961</v>
      </c>
      <c r="I748" s="111" t="s">
        <v>2000</v>
      </c>
      <c r="J748" s="111" t="s">
        <v>960</v>
      </c>
    </row>
    <row r="749" ht="18.75" hidden="1" customHeight="1">
      <c r="A749" s="111" t="s">
        <v>1590</v>
      </c>
      <c r="B749" s="111" t="s">
        <v>2281</v>
      </c>
      <c r="C749" s="111" t="s">
        <v>2282</v>
      </c>
      <c r="D749" s="111" t="s">
        <v>1593</v>
      </c>
      <c r="E749" s="111" t="s">
        <v>1594</v>
      </c>
      <c r="F749" s="112">
        <v>300.0</v>
      </c>
      <c r="G749" s="111" t="s">
        <v>2001</v>
      </c>
      <c r="H749" s="111" t="s">
        <v>642</v>
      </c>
      <c r="I749" s="111" t="s">
        <v>2002</v>
      </c>
      <c r="J749" s="111" t="s">
        <v>645</v>
      </c>
    </row>
    <row r="750" ht="18.75" hidden="1" customHeight="1">
      <c r="A750" s="111" t="s">
        <v>1590</v>
      </c>
      <c r="B750" s="111" t="s">
        <v>2281</v>
      </c>
      <c r="C750" s="111" t="s">
        <v>2282</v>
      </c>
      <c r="D750" s="111" t="s">
        <v>1593</v>
      </c>
      <c r="E750" s="111" t="s">
        <v>1594</v>
      </c>
      <c r="F750" s="112">
        <v>300.0</v>
      </c>
      <c r="G750" s="111" t="s">
        <v>2003</v>
      </c>
      <c r="H750" s="111" t="s">
        <v>155</v>
      </c>
      <c r="I750" s="111" t="s">
        <v>2004</v>
      </c>
      <c r="J750" s="111" t="s">
        <v>525</v>
      </c>
    </row>
    <row r="751" ht="18.75" hidden="1" customHeight="1">
      <c r="A751" s="111" t="s">
        <v>1590</v>
      </c>
      <c r="B751" s="111" t="s">
        <v>2281</v>
      </c>
      <c r="C751" s="111" t="s">
        <v>2282</v>
      </c>
      <c r="D751" s="111" t="s">
        <v>1593</v>
      </c>
      <c r="E751" s="111" t="s">
        <v>1594</v>
      </c>
      <c r="F751" s="112">
        <v>300.0</v>
      </c>
      <c r="G751" s="111" t="s">
        <v>2005</v>
      </c>
      <c r="H751" s="111" t="s">
        <v>311</v>
      </c>
      <c r="I751" s="111" t="s">
        <v>2006</v>
      </c>
      <c r="J751" s="111" t="s">
        <v>1186</v>
      </c>
    </row>
    <row r="752" ht="18.75" hidden="1" customHeight="1">
      <c r="A752" s="111" t="s">
        <v>1590</v>
      </c>
      <c r="B752" s="111" t="s">
        <v>2281</v>
      </c>
      <c r="C752" s="111" t="s">
        <v>2282</v>
      </c>
      <c r="D752" s="111" t="s">
        <v>1593</v>
      </c>
      <c r="E752" s="111" t="s">
        <v>1594</v>
      </c>
      <c r="F752" s="112">
        <v>300.0</v>
      </c>
      <c r="G752" s="111" t="s">
        <v>2007</v>
      </c>
      <c r="H752" s="111" t="s">
        <v>441</v>
      </c>
      <c r="I752" s="111" t="s">
        <v>2008</v>
      </c>
      <c r="J752" s="111" t="s">
        <v>440</v>
      </c>
    </row>
    <row r="753" ht="18.75" hidden="1" customHeight="1">
      <c r="A753" s="111" t="s">
        <v>1590</v>
      </c>
      <c r="B753" s="111" t="s">
        <v>2281</v>
      </c>
      <c r="C753" s="111" t="s">
        <v>2282</v>
      </c>
      <c r="D753" s="111" t="s">
        <v>1593</v>
      </c>
      <c r="E753" s="111" t="s">
        <v>1594</v>
      </c>
      <c r="F753" s="112">
        <v>300.0</v>
      </c>
      <c r="G753" s="111" t="s">
        <v>2009</v>
      </c>
      <c r="H753" s="111" t="s">
        <v>611</v>
      </c>
      <c r="I753" s="111" t="s">
        <v>2010</v>
      </c>
      <c r="J753" s="111" t="s">
        <v>610</v>
      </c>
    </row>
    <row r="754" ht="18.75" hidden="1" customHeight="1">
      <c r="A754" s="111" t="s">
        <v>1590</v>
      </c>
      <c r="B754" s="111" t="s">
        <v>2281</v>
      </c>
      <c r="C754" s="111" t="s">
        <v>2282</v>
      </c>
      <c r="D754" s="111" t="s">
        <v>1593</v>
      </c>
      <c r="E754" s="111" t="s">
        <v>1594</v>
      </c>
      <c r="F754" s="112">
        <v>300.0</v>
      </c>
      <c r="G754" s="111" t="s">
        <v>2011</v>
      </c>
      <c r="H754" s="111" t="s">
        <v>243</v>
      </c>
      <c r="I754" s="111" t="s">
        <v>2012</v>
      </c>
      <c r="J754" s="111" t="s">
        <v>1213</v>
      </c>
    </row>
    <row r="755" ht="18.75" hidden="1" customHeight="1">
      <c r="A755" s="111" t="s">
        <v>1590</v>
      </c>
      <c r="B755" s="111" t="s">
        <v>2281</v>
      </c>
      <c r="C755" s="111" t="s">
        <v>2282</v>
      </c>
      <c r="D755" s="111" t="s">
        <v>1593</v>
      </c>
      <c r="E755" s="111" t="s">
        <v>1594</v>
      </c>
      <c r="F755" s="112">
        <v>300.0</v>
      </c>
      <c r="G755" s="111" t="s">
        <v>2013</v>
      </c>
      <c r="H755" s="111" t="s">
        <v>139</v>
      </c>
      <c r="I755" s="111" t="s">
        <v>2014</v>
      </c>
      <c r="J755" s="111" t="s">
        <v>761</v>
      </c>
    </row>
    <row r="756" ht="18.75" hidden="1" customHeight="1">
      <c r="A756" s="111" t="s">
        <v>1590</v>
      </c>
      <c r="B756" s="111" t="s">
        <v>2281</v>
      </c>
      <c r="C756" s="111" t="s">
        <v>2282</v>
      </c>
      <c r="D756" s="111" t="s">
        <v>1593</v>
      </c>
      <c r="E756" s="111" t="s">
        <v>1594</v>
      </c>
      <c r="F756" s="112">
        <v>300.0</v>
      </c>
      <c r="G756" s="111" t="s">
        <v>2015</v>
      </c>
      <c r="H756" s="111" t="s">
        <v>461</v>
      </c>
      <c r="I756" s="111" t="s">
        <v>2016</v>
      </c>
      <c r="J756" s="111" t="s">
        <v>460</v>
      </c>
    </row>
    <row r="757" ht="18.75" hidden="1" customHeight="1">
      <c r="A757" s="111" t="s">
        <v>1590</v>
      </c>
      <c r="B757" s="111" t="s">
        <v>2281</v>
      </c>
      <c r="C757" s="111" t="s">
        <v>2282</v>
      </c>
      <c r="D757" s="111" t="s">
        <v>1593</v>
      </c>
      <c r="E757" s="111" t="s">
        <v>1594</v>
      </c>
      <c r="F757" s="112">
        <v>300.0</v>
      </c>
      <c r="G757" s="111" t="s">
        <v>2017</v>
      </c>
      <c r="H757" s="111" t="s">
        <v>854</v>
      </c>
      <c r="I757" s="111" t="s">
        <v>2018</v>
      </c>
      <c r="J757" s="111" t="s">
        <v>853</v>
      </c>
    </row>
    <row r="758" ht="18.75" hidden="1" customHeight="1">
      <c r="A758" s="111" t="s">
        <v>1590</v>
      </c>
      <c r="B758" s="111" t="s">
        <v>2281</v>
      </c>
      <c r="C758" s="111" t="s">
        <v>2282</v>
      </c>
      <c r="D758" s="111" t="s">
        <v>1593</v>
      </c>
      <c r="E758" s="111" t="s">
        <v>1594</v>
      </c>
      <c r="F758" s="112">
        <v>300.0</v>
      </c>
      <c r="G758" s="111" t="s">
        <v>2019</v>
      </c>
      <c r="H758" s="111" t="s">
        <v>144</v>
      </c>
      <c r="I758" s="111" t="s">
        <v>2020</v>
      </c>
      <c r="J758" s="111" t="s">
        <v>1068</v>
      </c>
    </row>
    <row r="759" ht="18.75" hidden="1" customHeight="1">
      <c r="A759" s="111" t="s">
        <v>1590</v>
      </c>
      <c r="B759" s="111" t="s">
        <v>2281</v>
      </c>
      <c r="C759" s="111" t="s">
        <v>2282</v>
      </c>
      <c r="D759" s="111" t="s">
        <v>1593</v>
      </c>
      <c r="E759" s="111" t="s">
        <v>1594</v>
      </c>
      <c r="F759" s="112">
        <v>300.0</v>
      </c>
      <c r="G759" s="111" t="s">
        <v>2021</v>
      </c>
      <c r="H759" s="111" t="s">
        <v>202</v>
      </c>
      <c r="I759" s="111" t="s">
        <v>2022</v>
      </c>
      <c r="J759" s="111" t="s">
        <v>1249</v>
      </c>
    </row>
    <row r="760" ht="18.75" hidden="1" customHeight="1">
      <c r="A760" s="111" t="s">
        <v>1590</v>
      </c>
      <c r="B760" s="111" t="s">
        <v>2281</v>
      </c>
      <c r="C760" s="111" t="s">
        <v>2282</v>
      </c>
      <c r="D760" s="111" t="s">
        <v>1593</v>
      </c>
      <c r="E760" s="111" t="s">
        <v>1594</v>
      </c>
      <c r="F760" s="112">
        <v>300.0</v>
      </c>
      <c r="G760" s="111" t="s">
        <v>2023</v>
      </c>
      <c r="H760" s="111" t="s">
        <v>585</v>
      </c>
      <c r="I760" s="111" t="s">
        <v>2024</v>
      </c>
      <c r="J760" s="111" t="s">
        <v>584</v>
      </c>
    </row>
    <row r="761" ht="18.75" hidden="1" customHeight="1">
      <c r="A761" s="111" t="s">
        <v>1590</v>
      </c>
      <c r="B761" s="111" t="s">
        <v>2281</v>
      </c>
      <c r="C761" s="111" t="s">
        <v>2282</v>
      </c>
      <c r="D761" s="111" t="s">
        <v>1593</v>
      </c>
      <c r="E761" s="111" t="s">
        <v>1594</v>
      </c>
      <c r="F761" s="112">
        <v>300.0</v>
      </c>
      <c r="G761" s="111" t="s">
        <v>2025</v>
      </c>
      <c r="H761" s="111" t="s">
        <v>229</v>
      </c>
      <c r="I761" s="111" t="s">
        <v>2026</v>
      </c>
      <c r="J761" s="111" t="s">
        <v>1147</v>
      </c>
    </row>
    <row r="762" ht="18.75" hidden="1" customHeight="1">
      <c r="A762" s="111" t="s">
        <v>1590</v>
      </c>
      <c r="B762" s="111" t="s">
        <v>2281</v>
      </c>
      <c r="C762" s="111" t="s">
        <v>2282</v>
      </c>
      <c r="D762" s="111" t="s">
        <v>1593</v>
      </c>
      <c r="E762" s="111" t="s">
        <v>1594</v>
      </c>
      <c r="F762" s="112">
        <v>300.0</v>
      </c>
      <c r="G762" s="111" t="s">
        <v>2027</v>
      </c>
      <c r="H762" s="111" t="s">
        <v>187</v>
      </c>
      <c r="I762" s="111" t="s">
        <v>2028</v>
      </c>
      <c r="J762" s="111" t="s">
        <v>967</v>
      </c>
    </row>
    <row r="763" ht="18.75" hidden="1" customHeight="1">
      <c r="A763" s="111" t="s">
        <v>1590</v>
      </c>
      <c r="B763" s="111" t="s">
        <v>2281</v>
      </c>
      <c r="C763" s="111" t="s">
        <v>2282</v>
      </c>
      <c r="D763" s="111" t="s">
        <v>1593</v>
      </c>
      <c r="E763" s="111" t="s">
        <v>1594</v>
      </c>
      <c r="F763" s="112">
        <v>300.0</v>
      </c>
      <c r="G763" s="111" t="s">
        <v>2029</v>
      </c>
      <c r="H763" s="111" t="s">
        <v>467</v>
      </c>
      <c r="I763" s="111" t="s">
        <v>2030</v>
      </c>
      <c r="J763" s="111" t="s">
        <v>466</v>
      </c>
    </row>
    <row r="764" ht="18.75" hidden="1" customHeight="1">
      <c r="A764" s="111" t="s">
        <v>1590</v>
      </c>
      <c r="B764" s="111" t="s">
        <v>2281</v>
      </c>
      <c r="C764" s="111" t="s">
        <v>2282</v>
      </c>
      <c r="D764" s="111" t="s">
        <v>1593</v>
      </c>
      <c r="E764" s="111" t="s">
        <v>1594</v>
      </c>
      <c r="F764" s="112">
        <v>300.0</v>
      </c>
      <c r="G764" s="111" t="s">
        <v>2032</v>
      </c>
      <c r="H764" s="111" t="s">
        <v>333</v>
      </c>
      <c r="I764" s="111" t="s">
        <v>2034</v>
      </c>
      <c r="J764" s="111" t="s">
        <v>530</v>
      </c>
    </row>
    <row r="765" ht="18.75" hidden="1" customHeight="1">
      <c r="A765" s="111" t="s">
        <v>1590</v>
      </c>
      <c r="B765" s="111" t="s">
        <v>2281</v>
      </c>
      <c r="C765" s="111" t="s">
        <v>2282</v>
      </c>
      <c r="D765" s="111" t="s">
        <v>1593</v>
      </c>
      <c r="E765" s="111" t="s">
        <v>1594</v>
      </c>
      <c r="F765" s="112">
        <v>300.0</v>
      </c>
      <c r="G765" s="111" t="s">
        <v>2035</v>
      </c>
      <c r="H765" s="111" t="s">
        <v>556</v>
      </c>
      <c r="I765" s="111" t="s">
        <v>2036</v>
      </c>
      <c r="J765" s="111" t="s">
        <v>555</v>
      </c>
    </row>
    <row r="766" ht="18.75" hidden="1" customHeight="1">
      <c r="A766" s="111" t="s">
        <v>1590</v>
      </c>
      <c r="B766" s="111" t="s">
        <v>2281</v>
      </c>
      <c r="C766" s="111" t="s">
        <v>2282</v>
      </c>
      <c r="D766" s="111" t="s">
        <v>1593</v>
      </c>
      <c r="E766" s="111" t="s">
        <v>1594</v>
      </c>
      <c r="F766" s="112">
        <v>300.0</v>
      </c>
      <c r="G766" s="111" t="s">
        <v>2037</v>
      </c>
      <c r="H766" s="111" t="s">
        <v>594</v>
      </c>
      <c r="I766" s="111" t="s">
        <v>2038</v>
      </c>
      <c r="J766" s="111" t="s">
        <v>593</v>
      </c>
    </row>
    <row r="767" ht="18.75" hidden="1" customHeight="1">
      <c r="A767" s="111" t="s">
        <v>1590</v>
      </c>
      <c r="B767" s="111" t="s">
        <v>2281</v>
      </c>
      <c r="C767" s="111" t="s">
        <v>2282</v>
      </c>
      <c r="D767" s="111" t="s">
        <v>1593</v>
      </c>
      <c r="E767" s="111" t="s">
        <v>1594</v>
      </c>
      <c r="F767" s="112">
        <v>300.0</v>
      </c>
      <c r="G767" s="111" t="s">
        <v>2039</v>
      </c>
      <c r="H767" s="111" t="s">
        <v>357</v>
      </c>
      <c r="I767" s="111" t="s">
        <v>2040</v>
      </c>
      <c r="J767" s="111" t="s">
        <v>1461</v>
      </c>
    </row>
    <row r="768" ht="18.75" hidden="1" customHeight="1">
      <c r="A768" s="111" t="s">
        <v>1590</v>
      </c>
      <c r="B768" s="111" t="s">
        <v>2281</v>
      </c>
      <c r="C768" s="111" t="s">
        <v>2282</v>
      </c>
      <c r="D768" s="111" t="s">
        <v>1593</v>
      </c>
      <c r="E768" s="111" t="s">
        <v>1594</v>
      </c>
      <c r="F768" s="112">
        <v>300.0</v>
      </c>
      <c r="G768" s="111" t="s">
        <v>2041</v>
      </c>
      <c r="H768" s="111" t="s">
        <v>1332</v>
      </c>
      <c r="I768" s="111" t="s">
        <v>2042</v>
      </c>
      <c r="J768" s="111" t="s">
        <v>1331</v>
      </c>
    </row>
    <row r="769" ht="18.75" hidden="1" customHeight="1">
      <c r="A769" s="111" t="s">
        <v>1590</v>
      </c>
      <c r="B769" s="111" t="s">
        <v>2281</v>
      </c>
      <c r="C769" s="111" t="s">
        <v>2282</v>
      </c>
      <c r="D769" s="111" t="s">
        <v>1593</v>
      </c>
      <c r="E769" s="111" t="s">
        <v>1594</v>
      </c>
      <c r="F769" s="112">
        <v>300.0</v>
      </c>
      <c r="G769" s="111" t="s">
        <v>2043</v>
      </c>
      <c r="H769" s="111" t="s">
        <v>1414</v>
      </c>
      <c r="I769" s="111" t="s">
        <v>2044</v>
      </c>
      <c r="J769" s="111" t="s">
        <v>1413</v>
      </c>
    </row>
    <row r="770" ht="18.75" hidden="1" customHeight="1">
      <c r="A770" s="111" t="s">
        <v>1590</v>
      </c>
      <c r="B770" s="111" t="s">
        <v>2281</v>
      </c>
      <c r="C770" s="111" t="s">
        <v>2282</v>
      </c>
      <c r="D770" s="111" t="s">
        <v>1593</v>
      </c>
      <c r="E770" s="111" t="s">
        <v>1594</v>
      </c>
      <c r="F770" s="112">
        <v>300.0</v>
      </c>
      <c r="G770" s="111" t="s">
        <v>2045</v>
      </c>
      <c r="H770" s="111" t="s">
        <v>296</v>
      </c>
      <c r="I770" s="111" t="s">
        <v>2046</v>
      </c>
      <c r="J770" s="111" t="s">
        <v>1426</v>
      </c>
    </row>
    <row r="771" ht="18.75" hidden="1" customHeight="1">
      <c r="A771" s="111" t="s">
        <v>1590</v>
      </c>
      <c r="B771" s="111" t="s">
        <v>2281</v>
      </c>
      <c r="C771" s="111" t="s">
        <v>2282</v>
      </c>
      <c r="D771" s="111" t="s">
        <v>1593</v>
      </c>
      <c r="E771" s="111" t="s">
        <v>1594</v>
      </c>
      <c r="F771" s="112">
        <v>300.0</v>
      </c>
      <c r="G771" s="111" t="s">
        <v>2047</v>
      </c>
      <c r="H771" s="111" t="s">
        <v>183</v>
      </c>
      <c r="I771" s="111" t="s">
        <v>2048</v>
      </c>
      <c r="J771" s="111" t="s">
        <v>488</v>
      </c>
    </row>
    <row r="772" ht="18.75" hidden="1" customHeight="1">
      <c r="A772" s="111" t="s">
        <v>1590</v>
      </c>
      <c r="B772" s="111" t="s">
        <v>2281</v>
      </c>
      <c r="C772" s="111" t="s">
        <v>2282</v>
      </c>
      <c r="D772" s="111" t="s">
        <v>1593</v>
      </c>
      <c r="E772" s="111" t="s">
        <v>1594</v>
      </c>
      <c r="F772" s="112">
        <v>300.0</v>
      </c>
      <c r="G772" s="111" t="s">
        <v>2049</v>
      </c>
      <c r="H772" s="111" t="s">
        <v>546</v>
      </c>
      <c r="I772" s="111" t="s">
        <v>2050</v>
      </c>
      <c r="J772" s="111" t="s">
        <v>548</v>
      </c>
    </row>
    <row r="773" ht="18.75" hidden="1" customHeight="1">
      <c r="A773" s="111" t="s">
        <v>1590</v>
      </c>
      <c r="B773" s="111" t="s">
        <v>2281</v>
      </c>
      <c r="C773" s="111" t="s">
        <v>2282</v>
      </c>
      <c r="D773" s="111" t="s">
        <v>1593</v>
      </c>
      <c r="E773" s="111" t="s">
        <v>1594</v>
      </c>
      <c r="F773" s="112">
        <v>300.0</v>
      </c>
      <c r="G773" s="111" t="s">
        <v>2051</v>
      </c>
      <c r="H773" s="111" t="s">
        <v>1422</v>
      </c>
      <c r="I773" s="111" t="s">
        <v>2052</v>
      </c>
      <c r="J773" s="111" t="s">
        <v>1421</v>
      </c>
    </row>
    <row r="774" ht="18.75" hidden="1" customHeight="1">
      <c r="A774" s="111" t="s">
        <v>1590</v>
      </c>
      <c r="B774" s="111" t="s">
        <v>2281</v>
      </c>
      <c r="C774" s="111" t="s">
        <v>2282</v>
      </c>
      <c r="D774" s="111" t="s">
        <v>1593</v>
      </c>
      <c r="E774" s="111" t="s">
        <v>1594</v>
      </c>
      <c r="F774" s="112">
        <v>300.0</v>
      </c>
      <c r="G774" s="111" t="s">
        <v>2053</v>
      </c>
      <c r="H774" s="111" t="s">
        <v>359</v>
      </c>
      <c r="I774" s="111" t="s">
        <v>2054</v>
      </c>
      <c r="J774" s="111" t="s">
        <v>732</v>
      </c>
    </row>
    <row r="775" ht="18.75" hidden="1" customHeight="1">
      <c r="A775" s="111" t="s">
        <v>1590</v>
      </c>
      <c r="B775" s="111" t="s">
        <v>2281</v>
      </c>
      <c r="C775" s="111" t="s">
        <v>2282</v>
      </c>
      <c r="D775" s="111" t="s">
        <v>1593</v>
      </c>
      <c r="E775" s="111" t="s">
        <v>1594</v>
      </c>
      <c r="F775" s="112">
        <v>300.0</v>
      </c>
      <c r="G775" s="111" t="s">
        <v>2055</v>
      </c>
      <c r="H775" s="111" t="s">
        <v>521</v>
      </c>
      <c r="I775" s="111" t="s">
        <v>2056</v>
      </c>
      <c r="J775" s="111" t="s">
        <v>523</v>
      </c>
    </row>
    <row r="776" ht="18.75" hidden="1" customHeight="1">
      <c r="A776" s="111" t="s">
        <v>1590</v>
      </c>
      <c r="B776" s="111" t="s">
        <v>2281</v>
      </c>
      <c r="C776" s="111" t="s">
        <v>2282</v>
      </c>
      <c r="D776" s="111" t="s">
        <v>1593</v>
      </c>
      <c r="E776" s="111" t="s">
        <v>1594</v>
      </c>
      <c r="F776" s="112">
        <v>300.0</v>
      </c>
      <c r="G776" s="111" t="s">
        <v>2057</v>
      </c>
      <c r="H776" s="111" t="s">
        <v>535</v>
      </c>
      <c r="I776" s="111" t="s">
        <v>2058</v>
      </c>
      <c r="J776" s="111" t="s">
        <v>534</v>
      </c>
    </row>
    <row r="777" ht="18.75" hidden="1" customHeight="1">
      <c r="A777" s="111" t="s">
        <v>1590</v>
      </c>
      <c r="B777" s="111" t="s">
        <v>2281</v>
      </c>
      <c r="C777" s="111" t="s">
        <v>2282</v>
      </c>
      <c r="D777" s="111" t="s">
        <v>1593</v>
      </c>
      <c r="E777" s="111" t="s">
        <v>1594</v>
      </c>
      <c r="F777" s="112">
        <v>300.0</v>
      </c>
      <c r="G777" s="111" t="s">
        <v>2059</v>
      </c>
      <c r="H777" s="111" t="s">
        <v>988</v>
      </c>
      <c r="I777" s="111" t="s">
        <v>2060</v>
      </c>
      <c r="J777" s="111" t="s">
        <v>987</v>
      </c>
    </row>
    <row r="778" ht="18.75" hidden="1" customHeight="1">
      <c r="A778" s="111" t="s">
        <v>1590</v>
      </c>
      <c r="B778" s="111" t="s">
        <v>2281</v>
      </c>
      <c r="C778" s="111" t="s">
        <v>2282</v>
      </c>
      <c r="D778" s="111" t="s">
        <v>1593</v>
      </c>
      <c r="E778" s="111" t="s">
        <v>1594</v>
      </c>
      <c r="F778" s="112">
        <v>300.0</v>
      </c>
      <c r="G778" s="111" t="s">
        <v>2061</v>
      </c>
      <c r="H778" s="111" t="s">
        <v>241</v>
      </c>
      <c r="I778" s="111" t="s">
        <v>2062</v>
      </c>
      <c r="J778" s="111" t="s">
        <v>1204</v>
      </c>
    </row>
    <row r="779" ht="18.75" hidden="1" customHeight="1">
      <c r="A779" s="111" t="s">
        <v>1590</v>
      </c>
      <c r="B779" s="111" t="s">
        <v>2281</v>
      </c>
      <c r="C779" s="111" t="s">
        <v>2282</v>
      </c>
      <c r="D779" s="111" t="s">
        <v>1593</v>
      </c>
      <c r="E779" s="111" t="s">
        <v>1594</v>
      </c>
      <c r="F779" s="112">
        <v>300.0</v>
      </c>
      <c r="G779" s="111" t="s">
        <v>2063</v>
      </c>
      <c r="H779" s="111" t="s">
        <v>1380</v>
      </c>
      <c r="I779" s="111" t="s">
        <v>2064</v>
      </c>
      <c r="J779" s="111" t="s">
        <v>1382</v>
      </c>
    </row>
    <row r="780" ht="18.75" hidden="1" customHeight="1">
      <c r="A780" s="111" t="s">
        <v>1590</v>
      </c>
      <c r="B780" s="111" t="s">
        <v>2281</v>
      </c>
      <c r="C780" s="111" t="s">
        <v>2282</v>
      </c>
      <c r="D780" s="111" t="s">
        <v>1593</v>
      </c>
      <c r="E780" s="111" t="s">
        <v>1594</v>
      </c>
      <c r="F780" s="112">
        <v>300.0</v>
      </c>
      <c r="G780" s="111" t="s">
        <v>2065</v>
      </c>
      <c r="H780" s="111" t="s">
        <v>123</v>
      </c>
      <c r="I780" s="111" t="s">
        <v>2066</v>
      </c>
      <c r="J780" s="111" t="s">
        <v>449</v>
      </c>
    </row>
    <row r="781" ht="18.75" hidden="1" customHeight="1">
      <c r="A781" s="111" t="s">
        <v>1590</v>
      </c>
      <c r="B781" s="111" t="s">
        <v>2281</v>
      </c>
      <c r="C781" s="111" t="s">
        <v>2282</v>
      </c>
      <c r="D781" s="111" t="s">
        <v>1593</v>
      </c>
      <c r="E781" s="111" t="s">
        <v>1594</v>
      </c>
      <c r="F781" s="112">
        <v>300.0</v>
      </c>
      <c r="G781" s="111" t="s">
        <v>2067</v>
      </c>
      <c r="H781" s="111" t="s">
        <v>265</v>
      </c>
      <c r="I781" s="111" t="s">
        <v>2068</v>
      </c>
      <c r="J781" s="111" t="s">
        <v>738</v>
      </c>
    </row>
    <row r="782" ht="18.75" hidden="1" customHeight="1">
      <c r="A782" s="111" t="s">
        <v>1590</v>
      </c>
      <c r="B782" s="111" t="s">
        <v>2281</v>
      </c>
      <c r="C782" s="111" t="s">
        <v>2282</v>
      </c>
      <c r="D782" s="111" t="s">
        <v>1593</v>
      </c>
      <c r="E782" s="111" t="s">
        <v>1594</v>
      </c>
      <c r="F782" s="112">
        <v>300.0</v>
      </c>
      <c r="G782" s="111" t="s">
        <v>2069</v>
      </c>
      <c r="H782" s="111" t="s">
        <v>247</v>
      </c>
      <c r="I782" s="111" t="s">
        <v>2070</v>
      </c>
      <c r="J782" s="111" t="s">
        <v>398</v>
      </c>
    </row>
    <row r="783" ht="18.75" hidden="1" customHeight="1">
      <c r="A783" s="111" t="s">
        <v>1590</v>
      </c>
      <c r="B783" s="111" t="s">
        <v>2281</v>
      </c>
      <c r="C783" s="111" t="s">
        <v>2282</v>
      </c>
      <c r="D783" s="111" t="s">
        <v>1593</v>
      </c>
      <c r="E783" s="111" t="s">
        <v>1594</v>
      </c>
      <c r="F783" s="112">
        <v>300.0</v>
      </c>
      <c r="G783" s="111" t="s">
        <v>2071</v>
      </c>
      <c r="H783" s="111" t="s">
        <v>154</v>
      </c>
      <c r="I783" s="111" t="s">
        <v>2072</v>
      </c>
      <c r="J783" s="111" t="s">
        <v>1134</v>
      </c>
    </row>
    <row r="784" ht="18.75" hidden="1" customHeight="1">
      <c r="A784" s="111" t="s">
        <v>1590</v>
      </c>
      <c r="B784" s="111" t="s">
        <v>2281</v>
      </c>
      <c r="C784" s="111" t="s">
        <v>2282</v>
      </c>
      <c r="D784" s="111" t="s">
        <v>1593</v>
      </c>
      <c r="E784" s="111" t="s">
        <v>1594</v>
      </c>
      <c r="F784" s="112">
        <v>300.0</v>
      </c>
      <c r="G784" s="111" t="s">
        <v>2073</v>
      </c>
      <c r="H784" s="111" t="s">
        <v>267</v>
      </c>
      <c r="I784" s="111" t="s">
        <v>2074</v>
      </c>
      <c r="J784" s="111" t="s">
        <v>266</v>
      </c>
    </row>
    <row r="785" ht="18.75" hidden="1" customHeight="1">
      <c r="A785" s="111" t="s">
        <v>1590</v>
      </c>
      <c r="B785" s="111" t="s">
        <v>2281</v>
      </c>
      <c r="C785" s="111" t="s">
        <v>2282</v>
      </c>
      <c r="D785" s="111" t="s">
        <v>1593</v>
      </c>
      <c r="E785" s="111" t="s">
        <v>1594</v>
      </c>
      <c r="F785" s="112">
        <v>300.0</v>
      </c>
      <c r="G785" s="111" t="s">
        <v>2075</v>
      </c>
      <c r="H785" s="111" t="s">
        <v>151</v>
      </c>
      <c r="I785" s="111" t="s">
        <v>2076</v>
      </c>
      <c r="J785" s="111" t="s">
        <v>1291</v>
      </c>
    </row>
    <row r="786" ht="18.75" hidden="1" customHeight="1">
      <c r="A786" s="111" t="s">
        <v>1590</v>
      </c>
      <c r="B786" s="111" t="s">
        <v>2281</v>
      </c>
      <c r="C786" s="111" t="s">
        <v>2282</v>
      </c>
      <c r="D786" s="111" t="s">
        <v>1593</v>
      </c>
      <c r="E786" s="111" t="s">
        <v>1594</v>
      </c>
      <c r="F786" s="112">
        <v>300.0</v>
      </c>
      <c r="G786" s="111" t="s">
        <v>2077</v>
      </c>
      <c r="H786" s="111" t="s">
        <v>796</v>
      </c>
      <c r="I786" s="111" t="s">
        <v>2078</v>
      </c>
      <c r="J786" s="111" t="s">
        <v>799</v>
      </c>
    </row>
    <row r="787" ht="18.75" hidden="1" customHeight="1">
      <c r="A787" s="111" t="s">
        <v>1590</v>
      </c>
      <c r="B787" s="111" t="s">
        <v>2281</v>
      </c>
      <c r="C787" s="111" t="s">
        <v>2282</v>
      </c>
      <c r="D787" s="111" t="s">
        <v>1593</v>
      </c>
      <c r="E787" s="111" t="s">
        <v>1594</v>
      </c>
      <c r="F787" s="112">
        <v>300.0</v>
      </c>
      <c r="G787" s="111" t="s">
        <v>1609</v>
      </c>
      <c r="H787" s="111" t="s">
        <v>1610</v>
      </c>
      <c r="I787" s="111" t="s">
        <v>1611</v>
      </c>
      <c r="J787" s="111" t="s">
        <v>1612</v>
      </c>
    </row>
    <row r="788" ht="18.75" hidden="1" customHeight="1">
      <c r="A788" s="111" t="s">
        <v>1590</v>
      </c>
      <c r="B788" s="111" t="s">
        <v>2281</v>
      </c>
      <c r="C788" s="111" t="s">
        <v>2282</v>
      </c>
      <c r="D788" s="111" t="s">
        <v>1593</v>
      </c>
      <c r="E788" s="111" t="s">
        <v>1594</v>
      </c>
      <c r="F788" s="112">
        <v>300.0</v>
      </c>
      <c r="G788" s="111" t="s">
        <v>2081</v>
      </c>
      <c r="H788" s="111" t="s">
        <v>282</v>
      </c>
      <c r="I788" s="111" t="s">
        <v>2082</v>
      </c>
      <c r="J788" s="111" t="s">
        <v>377</v>
      </c>
    </row>
    <row r="789" ht="18.75" hidden="1" customHeight="1">
      <c r="A789" s="111" t="s">
        <v>1590</v>
      </c>
      <c r="B789" s="111" t="s">
        <v>2281</v>
      </c>
      <c r="C789" s="111" t="s">
        <v>2282</v>
      </c>
      <c r="D789" s="111" t="s">
        <v>1593</v>
      </c>
      <c r="E789" s="111" t="s">
        <v>1594</v>
      </c>
      <c r="F789" s="112">
        <v>300.0</v>
      </c>
      <c r="G789" s="111" t="s">
        <v>2083</v>
      </c>
      <c r="H789" s="111" t="s">
        <v>150</v>
      </c>
      <c r="I789" s="111" t="s">
        <v>2084</v>
      </c>
      <c r="J789" s="111" t="s">
        <v>721</v>
      </c>
    </row>
    <row r="790" ht="18.75" hidden="1" customHeight="1">
      <c r="A790" s="111" t="s">
        <v>1590</v>
      </c>
      <c r="B790" s="111" t="s">
        <v>2281</v>
      </c>
      <c r="C790" s="111" t="s">
        <v>2282</v>
      </c>
      <c r="D790" s="111" t="s">
        <v>1593</v>
      </c>
      <c r="E790" s="111" t="s">
        <v>1594</v>
      </c>
      <c r="F790" s="112">
        <v>300.0</v>
      </c>
      <c r="G790" s="111" t="s">
        <v>2085</v>
      </c>
      <c r="H790" s="111" t="s">
        <v>198</v>
      </c>
      <c r="I790" s="111" t="s">
        <v>2086</v>
      </c>
      <c r="J790" s="111" t="s">
        <v>993</v>
      </c>
    </row>
    <row r="791" ht="18.75" hidden="1" customHeight="1">
      <c r="A791" s="111" t="s">
        <v>1590</v>
      </c>
      <c r="B791" s="111" t="s">
        <v>2281</v>
      </c>
      <c r="C791" s="111" t="s">
        <v>2282</v>
      </c>
      <c r="D791" s="111" t="s">
        <v>1593</v>
      </c>
      <c r="E791" s="111" t="s">
        <v>1594</v>
      </c>
      <c r="F791" s="112">
        <v>300.0</v>
      </c>
      <c r="G791" s="111" t="s">
        <v>2087</v>
      </c>
      <c r="H791" s="111" t="s">
        <v>711</v>
      </c>
      <c r="I791" s="111" t="s">
        <v>2088</v>
      </c>
      <c r="J791" s="111" t="s">
        <v>540</v>
      </c>
    </row>
    <row r="792" ht="18.75" hidden="1" customHeight="1">
      <c r="A792" s="111" t="s">
        <v>1590</v>
      </c>
      <c r="B792" s="111" t="s">
        <v>2281</v>
      </c>
      <c r="C792" s="111" t="s">
        <v>2282</v>
      </c>
      <c r="D792" s="111" t="s">
        <v>1593</v>
      </c>
      <c r="E792" s="111" t="s">
        <v>1594</v>
      </c>
      <c r="F792" s="112">
        <v>300.0</v>
      </c>
      <c r="G792" s="111" t="s">
        <v>1614</v>
      </c>
      <c r="H792" s="111" t="s">
        <v>1615</v>
      </c>
      <c r="I792" s="111" t="s">
        <v>1616</v>
      </c>
      <c r="J792" s="111" t="s">
        <v>1617</v>
      </c>
    </row>
    <row r="793" ht="18.75" hidden="1" customHeight="1">
      <c r="A793" s="111" t="s">
        <v>1590</v>
      </c>
      <c r="B793" s="111" t="s">
        <v>2281</v>
      </c>
      <c r="C793" s="111" t="s">
        <v>2282</v>
      </c>
      <c r="D793" s="111" t="s">
        <v>1593</v>
      </c>
      <c r="E793" s="111" t="s">
        <v>1594</v>
      </c>
      <c r="F793" s="112">
        <v>300.0</v>
      </c>
      <c r="G793" s="111" t="s">
        <v>2089</v>
      </c>
      <c r="H793" s="111" t="s">
        <v>923</v>
      </c>
      <c r="I793" s="111" t="s">
        <v>2090</v>
      </c>
      <c r="J793" s="111" t="s">
        <v>922</v>
      </c>
    </row>
    <row r="794" ht="18.75" hidden="1" customHeight="1">
      <c r="A794" s="111" t="s">
        <v>1590</v>
      </c>
      <c r="B794" s="111" t="s">
        <v>2281</v>
      </c>
      <c r="C794" s="111" t="s">
        <v>2282</v>
      </c>
      <c r="D794" s="111" t="s">
        <v>1593</v>
      </c>
      <c r="E794" s="111" t="s">
        <v>1594</v>
      </c>
      <c r="F794" s="112">
        <v>300.0</v>
      </c>
      <c r="G794" s="111" t="s">
        <v>2091</v>
      </c>
      <c r="H794" s="111" t="s">
        <v>1508</v>
      </c>
      <c r="I794" s="111" t="s">
        <v>2092</v>
      </c>
      <c r="J794" s="111" t="s">
        <v>1510</v>
      </c>
    </row>
    <row r="795" ht="18.75" hidden="1" customHeight="1">
      <c r="A795" s="111" t="s">
        <v>1590</v>
      </c>
      <c r="B795" s="111" t="s">
        <v>2281</v>
      </c>
      <c r="C795" s="111" t="s">
        <v>2282</v>
      </c>
      <c r="D795" s="111" t="s">
        <v>1593</v>
      </c>
      <c r="E795" s="111" t="s">
        <v>1594</v>
      </c>
      <c r="F795" s="112">
        <v>300.0</v>
      </c>
      <c r="G795" s="111" t="s">
        <v>2093</v>
      </c>
      <c r="H795" s="111" t="s">
        <v>261</v>
      </c>
      <c r="I795" s="111" t="s">
        <v>2094</v>
      </c>
      <c r="J795" s="111" t="s">
        <v>741</v>
      </c>
    </row>
    <row r="796" ht="18.75" hidden="1" customHeight="1">
      <c r="A796" s="111" t="s">
        <v>1590</v>
      </c>
      <c r="B796" s="111" t="s">
        <v>2281</v>
      </c>
      <c r="C796" s="111" t="s">
        <v>2282</v>
      </c>
      <c r="D796" s="111" t="s">
        <v>1593</v>
      </c>
      <c r="E796" s="111" t="s">
        <v>1594</v>
      </c>
      <c r="F796" s="112">
        <v>300.0</v>
      </c>
      <c r="G796" s="111" t="s">
        <v>2095</v>
      </c>
      <c r="H796" s="111" t="s">
        <v>210</v>
      </c>
      <c r="I796" s="111" t="s">
        <v>2096</v>
      </c>
      <c r="J796" s="111" t="s">
        <v>1033</v>
      </c>
    </row>
    <row r="797" ht="18.75" hidden="1" customHeight="1">
      <c r="A797" s="111" t="s">
        <v>1590</v>
      </c>
      <c r="B797" s="111" t="s">
        <v>2281</v>
      </c>
      <c r="C797" s="111" t="s">
        <v>2282</v>
      </c>
      <c r="D797" s="111" t="s">
        <v>1593</v>
      </c>
      <c r="E797" s="111" t="s">
        <v>1594</v>
      </c>
      <c r="F797" s="112">
        <v>300.0</v>
      </c>
      <c r="G797" s="111" t="s">
        <v>2097</v>
      </c>
      <c r="H797" s="111" t="s">
        <v>119</v>
      </c>
      <c r="I797" s="111" t="s">
        <v>2098</v>
      </c>
      <c r="J797" s="111" t="s">
        <v>697</v>
      </c>
    </row>
    <row r="798" ht="18.75" hidden="1" customHeight="1">
      <c r="A798" s="111" t="s">
        <v>1590</v>
      </c>
      <c r="B798" s="111" t="s">
        <v>2281</v>
      </c>
      <c r="C798" s="111" t="s">
        <v>2282</v>
      </c>
      <c r="D798" s="111" t="s">
        <v>1593</v>
      </c>
      <c r="E798" s="111" t="s">
        <v>1594</v>
      </c>
      <c r="F798" s="112">
        <v>300.0</v>
      </c>
      <c r="G798" s="111" t="s">
        <v>2099</v>
      </c>
      <c r="H798" s="111" t="s">
        <v>881</v>
      </c>
      <c r="I798" s="111" t="s">
        <v>2100</v>
      </c>
      <c r="J798" s="111" t="s">
        <v>880</v>
      </c>
    </row>
    <row r="799" ht="18.75" hidden="1" customHeight="1">
      <c r="A799" s="111" t="s">
        <v>1590</v>
      </c>
      <c r="B799" s="111" t="s">
        <v>2281</v>
      </c>
      <c r="C799" s="111" t="s">
        <v>2282</v>
      </c>
      <c r="D799" s="111" t="s">
        <v>1593</v>
      </c>
      <c r="E799" s="111" t="s">
        <v>1594</v>
      </c>
      <c r="F799" s="112">
        <v>300.0</v>
      </c>
      <c r="G799" s="111" t="s">
        <v>2101</v>
      </c>
      <c r="H799" s="111" t="s">
        <v>434</v>
      </c>
      <c r="I799" s="111" t="s">
        <v>2102</v>
      </c>
      <c r="J799" s="111" t="s">
        <v>433</v>
      </c>
    </row>
    <row r="800" ht="18.75" hidden="1" customHeight="1">
      <c r="A800" s="111" t="s">
        <v>1590</v>
      </c>
      <c r="B800" s="111" t="s">
        <v>2281</v>
      </c>
      <c r="C800" s="111" t="s">
        <v>2282</v>
      </c>
      <c r="D800" s="111" t="s">
        <v>1593</v>
      </c>
      <c r="E800" s="111" t="s">
        <v>1594</v>
      </c>
      <c r="F800" s="112">
        <v>300.0</v>
      </c>
      <c r="G800" s="111" t="s">
        <v>2103</v>
      </c>
      <c r="H800" s="111" t="s">
        <v>259</v>
      </c>
      <c r="I800" s="111" t="s">
        <v>2104</v>
      </c>
      <c r="J800" s="111" t="s">
        <v>1223</v>
      </c>
    </row>
    <row r="801" ht="18.75" hidden="1" customHeight="1">
      <c r="A801" s="111" t="s">
        <v>1590</v>
      </c>
      <c r="B801" s="111" t="s">
        <v>2281</v>
      </c>
      <c r="C801" s="111" t="s">
        <v>2282</v>
      </c>
      <c r="D801" s="111" t="s">
        <v>1593</v>
      </c>
      <c r="E801" s="111" t="s">
        <v>1594</v>
      </c>
      <c r="F801" s="112">
        <v>300.0</v>
      </c>
      <c r="G801" s="111" t="s">
        <v>2105</v>
      </c>
      <c r="H801" s="111" t="s">
        <v>253</v>
      </c>
      <c r="I801" s="111" t="s">
        <v>2106</v>
      </c>
      <c r="J801" s="111" t="s">
        <v>1308</v>
      </c>
    </row>
    <row r="802" ht="18.75" hidden="1" customHeight="1">
      <c r="A802" s="111" t="s">
        <v>1590</v>
      </c>
      <c r="B802" s="111" t="s">
        <v>2281</v>
      </c>
      <c r="C802" s="111" t="s">
        <v>2282</v>
      </c>
      <c r="D802" s="111" t="s">
        <v>1593</v>
      </c>
      <c r="E802" s="111" t="s">
        <v>1594</v>
      </c>
      <c r="F802" s="112">
        <v>300.0</v>
      </c>
      <c r="G802" s="111" t="s">
        <v>2107</v>
      </c>
      <c r="H802" s="111" t="s">
        <v>318</v>
      </c>
      <c r="I802" s="111" t="s">
        <v>2108</v>
      </c>
      <c r="J802" s="111" t="s">
        <v>520</v>
      </c>
    </row>
    <row r="803" ht="18.75" hidden="1" customHeight="1">
      <c r="A803" s="111" t="s">
        <v>1590</v>
      </c>
      <c r="B803" s="111" t="s">
        <v>2281</v>
      </c>
      <c r="C803" s="111" t="s">
        <v>2282</v>
      </c>
      <c r="D803" s="111" t="s">
        <v>1593</v>
      </c>
      <c r="E803" s="111" t="s">
        <v>1594</v>
      </c>
      <c r="F803" s="112">
        <v>300.0</v>
      </c>
      <c r="G803" s="111" t="s">
        <v>2109</v>
      </c>
      <c r="H803" s="111" t="s">
        <v>264</v>
      </c>
      <c r="I803" s="111" t="s">
        <v>2110</v>
      </c>
      <c r="J803" s="111" t="s">
        <v>1286</v>
      </c>
    </row>
    <row r="804" ht="18.75" hidden="1" customHeight="1">
      <c r="A804" s="111" t="s">
        <v>1590</v>
      </c>
      <c r="B804" s="111" t="s">
        <v>2281</v>
      </c>
      <c r="C804" s="111" t="s">
        <v>2282</v>
      </c>
      <c r="D804" s="111" t="s">
        <v>1593</v>
      </c>
      <c r="E804" s="111" t="s">
        <v>1594</v>
      </c>
      <c r="F804" s="112">
        <v>300.0</v>
      </c>
      <c r="G804" s="111" t="s">
        <v>2111</v>
      </c>
      <c r="H804" s="111" t="s">
        <v>667</v>
      </c>
      <c r="I804" s="111" t="s">
        <v>2112</v>
      </c>
      <c r="J804" s="111" t="s">
        <v>669</v>
      </c>
    </row>
    <row r="805" ht="18.75" hidden="1" customHeight="1">
      <c r="A805" s="111" t="s">
        <v>1590</v>
      </c>
      <c r="B805" s="111" t="s">
        <v>2281</v>
      </c>
      <c r="C805" s="111" t="s">
        <v>2282</v>
      </c>
      <c r="D805" s="111" t="s">
        <v>1593</v>
      </c>
      <c r="E805" s="111" t="s">
        <v>1594</v>
      </c>
      <c r="F805" s="112">
        <v>300.0</v>
      </c>
      <c r="G805" s="111" t="s">
        <v>2113</v>
      </c>
      <c r="H805" s="111" t="s">
        <v>671</v>
      </c>
      <c r="I805" s="111" t="s">
        <v>2114</v>
      </c>
      <c r="J805" s="111" t="s">
        <v>673</v>
      </c>
    </row>
    <row r="806" ht="18.75" hidden="1" customHeight="1">
      <c r="A806" s="111" t="s">
        <v>1590</v>
      </c>
      <c r="B806" s="111" t="s">
        <v>2281</v>
      </c>
      <c r="C806" s="111" t="s">
        <v>2282</v>
      </c>
      <c r="D806" s="111" t="s">
        <v>1593</v>
      </c>
      <c r="E806" s="111" t="s">
        <v>1594</v>
      </c>
      <c r="F806" s="112">
        <v>300.0</v>
      </c>
      <c r="G806" s="111" t="s">
        <v>2115</v>
      </c>
      <c r="H806" s="111" t="s">
        <v>821</v>
      </c>
      <c r="I806" s="111" t="s">
        <v>2116</v>
      </c>
      <c r="J806" s="111" t="s">
        <v>829</v>
      </c>
    </row>
    <row r="807" ht="18.75" hidden="1" customHeight="1">
      <c r="A807" s="111" t="s">
        <v>1590</v>
      </c>
      <c r="B807" s="111" t="s">
        <v>2281</v>
      </c>
      <c r="C807" s="111" t="s">
        <v>2282</v>
      </c>
      <c r="D807" s="111" t="s">
        <v>1593</v>
      </c>
      <c r="E807" s="111" t="s">
        <v>1594</v>
      </c>
      <c r="F807" s="112">
        <v>300.0</v>
      </c>
      <c r="G807" s="111" t="s">
        <v>2117</v>
      </c>
      <c r="H807" s="111" t="s">
        <v>1495</v>
      </c>
      <c r="I807" s="111" t="s">
        <v>2118</v>
      </c>
      <c r="J807" s="111" t="s">
        <v>1497</v>
      </c>
    </row>
    <row r="808" ht="18.75" hidden="1" customHeight="1">
      <c r="A808" s="111" t="s">
        <v>1590</v>
      </c>
      <c r="B808" s="111" t="s">
        <v>2281</v>
      </c>
      <c r="C808" s="111" t="s">
        <v>2282</v>
      </c>
      <c r="D808" s="111" t="s">
        <v>1593</v>
      </c>
      <c r="E808" s="111" t="s">
        <v>1594</v>
      </c>
      <c r="F808" s="112">
        <v>300.0</v>
      </c>
      <c r="G808" s="111" t="s">
        <v>2119</v>
      </c>
      <c r="H808" s="111" t="s">
        <v>496</v>
      </c>
      <c r="I808" s="111" t="s">
        <v>2120</v>
      </c>
      <c r="J808" s="111" t="s">
        <v>498</v>
      </c>
    </row>
    <row r="809" ht="18.75" hidden="1" customHeight="1">
      <c r="A809" s="111" t="s">
        <v>1590</v>
      </c>
      <c r="B809" s="111" t="s">
        <v>2281</v>
      </c>
      <c r="C809" s="111" t="s">
        <v>2282</v>
      </c>
      <c r="D809" s="111" t="s">
        <v>1593</v>
      </c>
      <c r="E809" s="111" t="s">
        <v>1594</v>
      </c>
      <c r="F809" s="112">
        <v>300.0</v>
      </c>
      <c r="G809" s="111" t="s">
        <v>2121</v>
      </c>
      <c r="H809" s="111" t="s">
        <v>274</v>
      </c>
      <c r="I809" s="111" t="s">
        <v>2122</v>
      </c>
      <c r="J809" s="111" t="s">
        <v>1224</v>
      </c>
    </row>
    <row r="810" ht="18.75" hidden="1" customHeight="1">
      <c r="A810" s="111" t="s">
        <v>1590</v>
      </c>
      <c r="B810" s="111" t="s">
        <v>2281</v>
      </c>
      <c r="C810" s="111" t="s">
        <v>2282</v>
      </c>
      <c r="D810" s="111" t="s">
        <v>1593</v>
      </c>
      <c r="E810" s="111" t="s">
        <v>1594</v>
      </c>
      <c r="F810" s="112">
        <v>300.0</v>
      </c>
      <c r="G810" s="111" t="s">
        <v>2123</v>
      </c>
      <c r="H810" s="111" t="s">
        <v>1276</v>
      </c>
      <c r="I810" s="111" t="s">
        <v>2124</v>
      </c>
      <c r="J810" s="111" t="s">
        <v>1280</v>
      </c>
    </row>
    <row r="811" ht="18.75" hidden="1" customHeight="1">
      <c r="A811" s="111" t="s">
        <v>1590</v>
      </c>
      <c r="B811" s="111" t="s">
        <v>2281</v>
      </c>
      <c r="C811" s="111" t="s">
        <v>2282</v>
      </c>
      <c r="D811" s="111" t="s">
        <v>1593</v>
      </c>
      <c r="E811" s="111" t="s">
        <v>1594</v>
      </c>
      <c r="F811" s="112">
        <v>300.0</v>
      </c>
      <c r="G811" s="111" t="s">
        <v>1618</v>
      </c>
      <c r="H811" s="111" t="s">
        <v>1619</v>
      </c>
      <c r="I811" s="111" t="s">
        <v>1620</v>
      </c>
      <c r="J811" s="111" t="s">
        <v>1621</v>
      </c>
    </row>
    <row r="812" ht="18.75" hidden="1" customHeight="1">
      <c r="A812" s="111" t="s">
        <v>1590</v>
      </c>
      <c r="B812" s="111" t="s">
        <v>2281</v>
      </c>
      <c r="C812" s="111" t="s">
        <v>2282</v>
      </c>
      <c r="D812" s="111" t="s">
        <v>1593</v>
      </c>
      <c r="E812" s="111" t="s">
        <v>1594</v>
      </c>
      <c r="F812" s="112">
        <v>300.0</v>
      </c>
      <c r="G812" s="111" t="s">
        <v>2125</v>
      </c>
      <c r="H812" s="111" t="s">
        <v>386</v>
      </c>
      <c r="I812" s="111" t="s">
        <v>2126</v>
      </c>
      <c r="J812" s="111" t="s">
        <v>1470</v>
      </c>
    </row>
    <row r="813" ht="18.75" hidden="1" customHeight="1">
      <c r="A813" s="111" t="s">
        <v>1590</v>
      </c>
      <c r="B813" s="111" t="s">
        <v>2281</v>
      </c>
      <c r="C813" s="111" t="s">
        <v>2282</v>
      </c>
      <c r="D813" s="111" t="s">
        <v>1593</v>
      </c>
      <c r="E813" s="111" t="s">
        <v>1594</v>
      </c>
      <c r="F813" s="112">
        <v>300.0</v>
      </c>
      <c r="G813" s="111" t="s">
        <v>2127</v>
      </c>
      <c r="H813" s="111" t="s">
        <v>895</v>
      </c>
      <c r="I813" s="111" t="s">
        <v>2128</v>
      </c>
      <c r="J813" s="111" t="s">
        <v>897</v>
      </c>
    </row>
    <row r="814" ht="18.75" hidden="1" customHeight="1">
      <c r="A814" s="111" t="s">
        <v>1590</v>
      </c>
      <c r="B814" s="111" t="s">
        <v>2281</v>
      </c>
      <c r="C814" s="111" t="s">
        <v>2282</v>
      </c>
      <c r="D814" s="111" t="s">
        <v>1593</v>
      </c>
      <c r="E814" s="111" t="s">
        <v>1594</v>
      </c>
      <c r="F814" s="112">
        <v>300.0</v>
      </c>
      <c r="G814" s="111" t="s">
        <v>2129</v>
      </c>
      <c r="H814" s="111" t="s">
        <v>312</v>
      </c>
      <c r="I814" s="111" t="s">
        <v>2130</v>
      </c>
      <c r="J814" s="111" t="s">
        <v>1325</v>
      </c>
    </row>
    <row r="815" ht="18.75" hidden="1" customHeight="1">
      <c r="A815" s="111" t="s">
        <v>1590</v>
      </c>
      <c r="B815" s="111" t="s">
        <v>2281</v>
      </c>
      <c r="C815" s="111" t="s">
        <v>2282</v>
      </c>
      <c r="D815" s="111" t="s">
        <v>1593</v>
      </c>
      <c r="E815" s="111" t="s">
        <v>1594</v>
      </c>
      <c r="F815" s="112">
        <v>300.0</v>
      </c>
      <c r="G815" s="111" t="s">
        <v>2131</v>
      </c>
      <c r="H815" s="111" t="s">
        <v>1351</v>
      </c>
      <c r="I815" s="111" t="s">
        <v>2132</v>
      </c>
      <c r="J815" s="111" t="s">
        <v>1350</v>
      </c>
    </row>
    <row r="816" ht="18.75" hidden="1" customHeight="1">
      <c r="A816" s="111" t="s">
        <v>1590</v>
      </c>
      <c r="B816" s="111" t="s">
        <v>2281</v>
      </c>
      <c r="C816" s="111" t="s">
        <v>2282</v>
      </c>
      <c r="D816" s="111" t="s">
        <v>1593</v>
      </c>
      <c r="E816" s="111" t="s">
        <v>1594</v>
      </c>
      <c r="F816" s="112">
        <v>300.0</v>
      </c>
      <c r="G816" s="111" t="s">
        <v>2133</v>
      </c>
      <c r="H816" s="111" t="s">
        <v>1238</v>
      </c>
      <c r="I816" s="111" t="s">
        <v>2134</v>
      </c>
      <c r="J816" s="111" t="s">
        <v>1237</v>
      </c>
    </row>
    <row r="817" ht="18.75" hidden="1" customHeight="1">
      <c r="A817" s="111" t="s">
        <v>1590</v>
      </c>
      <c r="B817" s="111" t="s">
        <v>2281</v>
      </c>
      <c r="C817" s="111" t="s">
        <v>2282</v>
      </c>
      <c r="D817" s="111" t="s">
        <v>1593</v>
      </c>
      <c r="E817" s="111" t="s">
        <v>1594</v>
      </c>
      <c r="F817" s="112">
        <v>300.0</v>
      </c>
      <c r="G817" s="111" t="s">
        <v>2135</v>
      </c>
      <c r="H817" s="111" t="s">
        <v>635</v>
      </c>
      <c r="I817" s="111" t="s">
        <v>2136</v>
      </c>
      <c r="J817" s="111" t="s">
        <v>637</v>
      </c>
    </row>
    <row r="818" ht="18.75" hidden="1" customHeight="1">
      <c r="A818" s="111" t="s">
        <v>1590</v>
      </c>
      <c r="B818" s="111" t="s">
        <v>2281</v>
      </c>
      <c r="C818" s="111" t="s">
        <v>2282</v>
      </c>
      <c r="D818" s="111" t="s">
        <v>1593</v>
      </c>
      <c r="E818" s="111" t="s">
        <v>1594</v>
      </c>
      <c r="F818" s="112">
        <v>300.0</v>
      </c>
      <c r="G818" s="111" t="s">
        <v>2137</v>
      </c>
      <c r="H818" s="111" t="s">
        <v>90</v>
      </c>
      <c r="I818" s="111" t="s">
        <v>2138</v>
      </c>
      <c r="J818" s="111" t="s">
        <v>571</v>
      </c>
    </row>
    <row r="819" ht="18.75" hidden="1" customHeight="1">
      <c r="A819" s="111" t="s">
        <v>1590</v>
      </c>
      <c r="B819" s="111" t="s">
        <v>2281</v>
      </c>
      <c r="C819" s="111" t="s">
        <v>2282</v>
      </c>
      <c r="D819" s="111" t="s">
        <v>1593</v>
      </c>
      <c r="E819" s="111" t="s">
        <v>1594</v>
      </c>
      <c r="F819" s="112">
        <v>300.0</v>
      </c>
      <c r="G819" s="111" t="s">
        <v>2139</v>
      </c>
      <c r="H819" s="111" t="s">
        <v>237</v>
      </c>
      <c r="I819" s="111" t="s">
        <v>2140</v>
      </c>
      <c r="J819" s="111" t="s">
        <v>1173</v>
      </c>
    </row>
    <row r="820" ht="18.75" hidden="1" customHeight="1">
      <c r="A820" s="111" t="s">
        <v>1590</v>
      </c>
      <c r="B820" s="111" t="s">
        <v>2281</v>
      </c>
      <c r="C820" s="111" t="s">
        <v>2282</v>
      </c>
      <c r="D820" s="111" t="s">
        <v>1593</v>
      </c>
      <c r="E820" s="111" t="s">
        <v>1594</v>
      </c>
      <c r="F820" s="112">
        <v>300.0</v>
      </c>
      <c r="G820" s="111" t="s">
        <v>2141</v>
      </c>
      <c r="H820" s="111" t="s">
        <v>179</v>
      </c>
      <c r="I820" s="111" t="s">
        <v>2142</v>
      </c>
      <c r="J820" s="111" t="s">
        <v>567</v>
      </c>
    </row>
    <row r="821" ht="18.75" hidden="1" customHeight="1">
      <c r="A821" s="111" t="s">
        <v>1590</v>
      </c>
      <c r="B821" s="111" t="s">
        <v>2281</v>
      </c>
      <c r="C821" s="111" t="s">
        <v>2282</v>
      </c>
      <c r="D821" s="111" t="s">
        <v>1593</v>
      </c>
      <c r="E821" s="111" t="s">
        <v>1594</v>
      </c>
      <c r="F821" s="112">
        <v>300.0</v>
      </c>
      <c r="G821" s="111" t="s">
        <v>2143</v>
      </c>
      <c r="H821" s="111" t="s">
        <v>299</v>
      </c>
      <c r="I821" s="111" t="s">
        <v>2144</v>
      </c>
      <c r="J821" s="111" t="s">
        <v>948</v>
      </c>
    </row>
    <row r="822" ht="18.75" hidden="1" customHeight="1">
      <c r="A822" s="111" t="s">
        <v>1590</v>
      </c>
      <c r="B822" s="111" t="s">
        <v>2281</v>
      </c>
      <c r="C822" s="111" t="s">
        <v>2282</v>
      </c>
      <c r="D822" s="111" t="s">
        <v>1593</v>
      </c>
      <c r="E822" s="111" t="s">
        <v>1594</v>
      </c>
      <c r="F822" s="112">
        <v>300.0</v>
      </c>
      <c r="G822" s="111" t="s">
        <v>2145</v>
      </c>
      <c r="H822" s="111" t="s">
        <v>419</v>
      </c>
      <c r="I822" s="111" t="s">
        <v>2146</v>
      </c>
      <c r="J822" s="111" t="s">
        <v>418</v>
      </c>
    </row>
    <row r="823" ht="18.75" hidden="1" customHeight="1">
      <c r="A823" s="111" t="s">
        <v>1590</v>
      </c>
      <c r="B823" s="111" t="s">
        <v>2281</v>
      </c>
      <c r="C823" s="111" t="s">
        <v>2282</v>
      </c>
      <c r="D823" s="111" t="s">
        <v>1593</v>
      </c>
      <c r="E823" s="111" t="s">
        <v>1594</v>
      </c>
      <c r="F823" s="112">
        <v>300.0</v>
      </c>
      <c r="G823" s="111" t="s">
        <v>2147</v>
      </c>
      <c r="H823" s="111" t="s">
        <v>200</v>
      </c>
      <c r="I823" s="111" t="s">
        <v>2148</v>
      </c>
      <c r="J823" s="111" t="s">
        <v>1516</v>
      </c>
    </row>
    <row r="824" ht="18.75" hidden="1" customHeight="1">
      <c r="A824" s="111" t="s">
        <v>1590</v>
      </c>
      <c r="B824" s="111" t="s">
        <v>2281</v>
      </c>
      <c r="C824" s="111" t="s">
        <v>2282</v>
      </c>
      <c r="D824" s="111" t="s">
        <v>1593</v>
      </c>
      <c r="E824" s="111" t="s">
        <v>1594</v>
      </c>
      <c r="F824" s="112">
        <v>300.0</v>
      </c>
      <c r="G824" s="111" t="s">
        <v>2149</v>
      </c>
      <c r="H824" s="111" t="s">
        <v>137</v>
      </c>
      <c r="I824" s="111" t="s">
        <v>2150</v>
      </c>
      <c r="J824" s="111" t="s">
        <v>136</v>
      </c>
    </row>
    <row r="825" ht="18.75" hidden="1" customHeight="1">
      <c r="A825" s="111" t="s">
        <v>1590</v>
      </c>
      <c r="B825" s="111" t="s">
        <v>2281</v>
      </c>
      <c r="C825" s="111" t="s">
        <v>2282</v>
      </c>
      <c r="D825" s="111" t="s">
        <v>1593</v>
      </c>
      <c r="E825" s="111" t="s">
        <v>1594</v>
      </c>
      <c r="F825" s="112">
        <v>300.0</v>
      </c>
      <c r="G825" s="111" t="s">
        <v>2151</v>
      </c>
      <c r="H825" s="111" t="s">
        <v>1042</v>
      </c>
      <c r="I825" s="111" t="s">
        <v>2152</v>
      </c>
      <c r="J825" s="111" t="s">
        <v>1041</v>
      </c>
    </row>
    <row r="826" ht="18.75" hidden="1" customHeight="1">
      <c r="A826" s="111" t="s">
        <v>1590</v>
      </c>
      <c r="B826" s="111" t="s">
        <v>2281</v>
      </c>
      <c r="C826" s="111" t="s">
        <v>2282</v>
      </c>
      <c r="D826" s="111" t="s">
        <v>1593</v>
      </c>
      <c r="E826" s="111" t="s">
        <v>1594</v>
      </c>
      <c r="F826" s="112">
        <v>300.0</v>
      </c>
      <c r="G826" s="111" t="s">
        <v>2153</v>
      </c>
      <c r="H826" s="111" t="s">
        <v>1254</v>
      </c>
      <c r="I826" s="111" t="s">
        <v>2154</v>
      </c>
      <c r="J826" s="111" t="s">
        <v>1253</v>
      </c>
    </row>
    <row r="827" ht="18.75" hidden="1" customHeight="1">
      <c r="A827" s="111" t="s">
        <v>1590</v>
      </c>
      <c r="B827" s="111" t="s">
        <v>2281</v>
      </c>
      <c r="C827" s="111" t="s">
        <v>2282</v>
      </c>
      <c r="D827" s="111" t="s">
        <v>1593</v>
      </c>
      <c r="E827" s="111" t="s">
        <v>1594</v>
      </c>
      <c r="F827" s="112">
        <v>300.0</v>
      </c>
      <c r="G827" s="111" t="s">
        <v>2155</v>
      </c>
      <c r="H827" s="111" t="s">
        <v>407</v>
      </c>
      <c r="I827" s="111" t="s">
        <v>2156</v>
      </c>
      <c r="J827" s="111" t="s">
        <v>863</v>
      </c>
    </row>
    <row r="828" ht="18.75" hidden="1" customHeight="1">
      <c r="A828" s="111" t="s">
        <v>1590</v>
      </c>
      <c r="B828" s="111" t="s">
        <v>2281</v>
      </c>
      <c r="C828" s="111" t="s">
        <v>2282</v>
      </c>
      <c r="D828" s="111" t="s">
        <v>1593</v>
      </c>
      <c r="E828" s="111" t="s">
        <v>1594</v>
      </c>
      <c r="F828" s="112">
        <v>300.0</v>
      </c>
      <c r="G828" s="111" t="s">
        <v>2157</v>
      </c>
      <c r="H828" s="111" t="s">
        <v>2158</v>
      </c>
      <c r="I828" s="111" t="s">
        <v>2159</v>
      </c>
      <c r="J828" s="111" t="s">
        <v>1561</v>
      </c>
    </row>
    <row r="829" ht="18.75" hidden="1" customHeight="1">
      <c r="A829" s="111" t="s">
        <v>1590</v>
      </c>
      <c r="B829" s="111" t="s">
        <v>2281</v>
      </c>
      <c r="C829" s="111" t="s">
        <v>2282</v>
      </c>
      <c r="D829" s="111" t="s">
        <v>1593</v>
      </c>
      <c r="E829" s="111" t="s">
        <v>1594</v>
      </c>
      <c r="F829" s="112">
        <v>300.0</v>
      </c>
      <c r="G829" s="111" t="s">
        <v>2160</v>
      </c>
      <c r="H829" s="111" t="s">
        <v>298</v>
      </c>
      <c r="I829" s="111" t="s">
        <v>2161</v>
      </c>
      <c r="J829" s="111" t="s">
        <v>1275</v>
      </c>
    </row>
    <row r="830" ht="18.75" hidden="1" customHeight="1">
      <c r="A830" s="111" t="s">
        <v>1590</v>
      </c>
      <c r="B830" s="111" t="s">
        <v>2281</v>
      </c>
      <c r="C830" s="111" t="s">
        <v>2282</v>
      </c>
      <c r="D830" s="111" t="s">
        <v>1593</v>
      </c>
      <c r="E830" s="111" t="s">
        <v>1594</v>
      </c>
      <c r="F830" s="112">
        <v>300.0</v>
      </c>
      <c r="G830" s="111" t="s">
        <v>2162</v>
      </c>
      <c r="H830" s="111" t="s">
        <v>1482</v>
      </c>
      <c r="I830" s="111" t="s">
        <v>2163</v>
      </c>
      <c r="J830" s="111" t="s">
        <v>1484</v>
      </c>
    </row>
    <row r="831" ht="18.75" hidden="1" customHeight="1">
      <c r="A831" s="111" t="s">
        <v>1590</v>
      </c>
      <c r="B831" s="111" t="s">
        <v>2281</v>
      </c>
      <c r="C831" s="111" t="s">
        <v>2282</v>
      </c>
      <c r="D831" s="111" t="s">
        <v>1593</v>
      </c>
      <c r="E831" s="111" t="s">
        <v>1594</v>
      </c>
      <c r="F831" s="112">
        <v>300.0</v>
      </c>
      <c r="G831" s="111" t="s">
        <v>2164</v>
      </c>
      <c r="H831" s="111" t="s">
        <v>92</v>
      </c>
      <c r="I831" s="111" t="s">
        <v>2165</v>
      </c>
      <c r="J831" s="111" t="s">
        <v>531</v>
      </c>
    </row>
    <row r="832" ht="18.75" hidden="1" customHeight="1">
      <c r="A832" s="111" t="s">
        <v>1590</v>
      </c>
      <c r="B832" s="111" t="s">
        <v>2281</v>
      </c>
      <c r="C832" s="111" t="s">
        <v>2282</v>
      </c>
      <c r="D832" s="111" t="s">
        <v>1593</v>
      </c>
      <c r="E832" s="111" t="s">
        <v>1594</v>
      </c>
      <c r="F832" s="112">
        <v>300.0</v>
      </c>
      <c r="G832" s="111" t="s">
        <v>2166</v>
      </c>
      <c r="H832" s="111" t="s">
        <v>588</v>
      </c>
      <c r="I832" s="111" t="s">
        <v>2167</v>
      </c>
      <c r="J832" s="111" t="s">
        <v>590</v>
      </c>
    </row>
    <row r="833" ht="18.75" hidden="1" customHeight="1">
      <c r="A833" s="111" t="s">
        <v>1590</v>
      </c>
      <c r="B833" s="111" t="s">
        <v>2281</v>
      </c>
      <c r="C833" s="111" t="s">
        <v>2282</v>
      </c>
      <c r="D833" s="111" t="s">
        <v>1593</v>
      </c>
      <c r="E833" s="111" t="s">
        <v>1594</v>
      </c>
      <c r="F833" s="112">
        <v>300.0</v>
      </c>
      <c r="G833" s="111" t="s">
        <v>2168</v>
      </c>
      <c r="H833" s="111" t="s">
        <v>79</v>
      </c>
      <c r="I833" s="111" t="s">
        <v>2169</v>
      </c>
      <c r="J833" s="111" t="s">
        <v>526</v>
      </c>
    </row>
    <row r="834" ht="18.75" hidden="1" customHeight="1">
      <c r="A834" s="111" t="s">
        <v>1590</v>
      </c>
      <c r="B834" s="111" t="s">
        <v>2281</v>
      </c>
      <c r="C834" s="111" t="s">
        <v>2282</v>
      </c>
      <c r="D834" s="111" t="s">
        <v>1593</v>
      </c>
      <c r="E834" s="111" t="s">
        <v>1594</v>
      </c>
      <c r="F834" s="112">
        <v>300.0</v>
      </c>
      <c r="G834" s="111" t="s">
        <v>2170</v>
      </c>
      <c r="H834" s="111" t="s">
        <v>1344</v>
      </c>
      <c r="I834" s="111" t="s">
        <v>2171</v>
      </c>
      <c r="J834" s="111" t="s">
        <v>1349</v>
      </c>
    </row>
    <row r="835" ht="18.75" hidden="1" customHeight="1">
      <c r="A835" s="111" t="s">
        <v>1590</v>
      </c>
      <c r="B835" s="111" t="s">
        <v>2281</v>
      </c>
      <c r="C835" s="111" t="s">
        <v>2282</v>
      </c>
      <c r="D835" s="111" t="s">
        <v>1593</v>
      </c>
      <c r="E835" s="111" t="s">
        <v>1594</v>
      </c>
      <c r="F835" s="112">
        <v>300.0</v>
      </c>
      <c r="G835" s="111" t="s">
        <v>2172</v>
      </c>
      <c r="H835" s="111" t="s">
        <v>371</v>
      </c>
      <c r="I835" s="111" t="s">
        <v>2173</v>
      </c>
      <c r="J835" s="111" t="s">
        <v>973</v>
      </c>
    </row>
    <row r="836" ht="18.75" hidden="1" customHeight="1">
      <c r="A836" s="111" t="s">
        <v>1590</v>
      </c>
      <c r="B836" s="111" t="s">
        <v>2281</v>
      </c>
      <c r="C836" s="111" t="s">
        <v>2282</v>
      </c>
      <c r="D836" s="111" t="s">
        <v>1593</v>
      </c>
      <c r="E836" s="111" t="s">
        <v>1594</v>
      </c>
      <c r="F836" s="112">
        <v>300.0</v>
      </c>
      <c r="G836" s="111" t="s">
        <v>2174</v>
      </c>
      <c r="H836" s="111" t="s">
        <v>331</v>
      </c>
      <c r="I836" s="111" t="s">
        <v>2175</v>
      </c>
      <c r="J836" s="111" t="s">
        <v>1030</v>
      </c>
    </row>
    <row r="837" ht="18.75" hidden="1" customHeight="1">
      <c r="A837" s="111" t="s">
        <v>1590</v>
      </c>
      <c r="B837" s="111" t="s">
        <v>2281</v>
      </c>
      <c r="C837" s="111" t="s">
        <v>2282</v>
      </c>
      <c r="D837" s="111" t="s">
        <v>1593</v>
      </c>
      <c r="E837" s="111" t="s">
        <v>1594</v>
      </c>
      <c r="F837" s="112">
        <v>300.0</v>
      </c>
      <c r="G837" s="111" t="s">
        <v>2176</v>
      </c>
      <c r="H837" s="111" t="s">
        <v>94</v>
      </c>
      <c r="I837" s="111" t="s">
        <v>2177</v>
      </c>
      <c r="J837" s="111" t="s">
        <v>563</v>
      </c>
    </row>
    <row r="838" ht="18.75" hidden="1" customHeight="1">
      <c r="A838" s="111" t="s">
        <v>1590</v>
      </c>
      <c r="B838" s="111" t="s">
        <v>2281</v>
      </c>
      <c r="C838" s="111" t="s">
        <v>2282</v>
      </c>
      <c r="D838" s="111" t="s">
        <v>1593</v>
      </c>
      <c r="E838" s="111" t="s">
        <v>1594</v>
      </c>
      <c r="F838" s="112">
        <v>300.0</v>
      </c>
      <c r="G838" s="111" t="s">
        <v>2178</v>
      </c>
      <c r="H838" s="111" t="s">
        <v>631</v>
      </c>
      <c r="I838" s="111" t="s">
        <v>2179</v>
      </c>
      <c r="J838" s="111" t="s">
        <v>633</v>
      </c>
    </row>
    <row r="839" ht="18.75" hidden="1" customHeight="1">
      <c r="A839" s="111" t="s">
        <v>1590</v>
      </c>
      <c r="B839" s="111" t="s">
        <v>2281</v>
      </c>
      <c r="C839" s="111" t="s">
        <v>2282</v>
      </c>
      <c r="D839" s="111" t="s">
        <v>1593</v>
      </c>
      <c r="E839" s="111" t="s">
        <v>1594</v>
      </c>
      <c r="F839" s="112">
        <v>300.0</v>
      </c>
      <c r="G839" s="111" t="s">
        <v>2180</v>
      </c>
      <c r="H839" s="111" t="s">
        <v>627</v>
      </c>
      <c r="I839" s="111" t="s">
        <v>2181</v>
      </c>
      <c r="J839" s="111" t="s">
        <v>629</v>
      </c>
    </row>
    <row r="840" ht="18.75" hidden="1" customHeight="1">
      <c r="A840" s="111" t="s">
        <v>1590</v>
      </c>
      <c r="B840" s="111" t="s">
        <v>2281</v>
      </c>
      <c r="C840" s="111" t="s">
        <v>2282</v>
      </c>
      <c r="D840" s="111" t="s">
        <v>1593</v>
      </c>
      <c r="E840" s="111" t="s">
        <v>1594</v>
      </c>
      <c r="F840" s="112">
        <v>300.0</v>
      </c>
      <c r="G840" s="111" t="s">
        <v>2182</v>
      </c>
      <c r="H840" s="111" t="s">
        <v>387</v>
      </c>
      <c r="I840" s="111" t="s">
        <v>2183</v>
      </c>
      <c r="J840" s="111" t="s">
        <v>1321</v>
      </c>
    </row>
    <row r="841" ht="18.75" hidden="1" customHeight="1">
      <c r="A841" s="111" t="s">
        <v>1590</v>
      </c>
      <c r="B841" s="111" t="s">
        <v>2281</v>
      </c>
      <c r="C841" s="111" t="s">
        <v>2282</v>
      </c>
      <c r="D841" s="111" t="s">
        <v>1593</v>
      </c>
      <c r="E841" s="111" t="s">
        <v>1594</v>
      </c>
      <c r="F841" s="112">
        <v>300.0</v>
      </c>
      <c r="G841" s="111" t="s">
        <v>2184</v>
      </c>
      <c r="H841" s="111" t="s">
        <v>848</v>
      </c>
      <c r="I841" s="111" t="s">
        <v>2185</v>
      </c>
      <c r="J841" s="111" t="s">
        <v>852</v>
      </c>
    </row>
    <row r="842" ht="18.75" hidden="1" customHeight="1">
      <c r="A842" s="111" t="s">
        <v>1590</v>
      </c>
      <c r="B842" s="111" t="s">
        <v>2281</v>
      </c>
      <c r="C842" s="111" t="s">
        <v>2282</v>
      </c>
      <c r="D842" s="111" t="s">
        <v>1593</v>
      </c>
      <c r="E842" s="111" t="s">
        <v>1594</v>
      </c>
      <c r="F842" s="112">
        <v>300.0</v>
      </c>
      <c r="G842" s="111" t="s">
        <v>2186</v>
      </c>
      <c r="H842" s="111" t="s">
        <v>842</v>
      </c>
      <c r="I842" s="111" t="s">
        <v>2187</v>
      </c>
      <c r="J842" s="111" t="s">
        <v>841</v>
      </c>
    </row>
    <row r="843" ht="18.75" hidden="1" customHeight="1">
      <c r="A843" s="111" t="s">
        <v>1590</v>
      </c>
      <c r="B843" s="111" t="s">
        <v>2281</v>
      </c>
      <c r="C843" s="111" t="s">
        <v>2282</v>
      </c>
      <c r="D843" s="111" t="s">
        <v>1593</v>
      </c>
      <c r="E843" s="111" t="s">
        <v>1594</v>
      </c>
      <c r="F843" s="112">
        <v>300.0</v>
      </c>
      <c r="G843" s="111" t="s">
        <v>2188</v>
      </c>
      <c r="H843" s="111" t="s">
        <v>251</v>
      </c>
      <c r="I843" s="111" t="s">
        <v>2189</v>
      </c>
      <c r="J843" s="111" t="s">
        <v>553</v>
      </c>
    </row>
    <row r="844" ht="18.75" hidden="1" customHeight="1">
      <c r="A844" s="111" t="s">
        <v>1590</v>
      </c>
      <c r="B844" s="111" t="s">
        <v>2281</v>
      </c>
      <c r="C844" s="111" t="s">
        <v>2282</v>
      </c>
      <c r="D844" s="111" t="s">
        <v>1593</v>
      </c>
      <c r="E844" s="111" t="s">
        <v>1594</v>
      </c>
      <c r="F844" s="112">
        <v>300.0</v>
      </c>
      <c r="G844" s="111" t="s">
        <v>2190</v>
      </c>
      <c r="H844" s="111" t="s">
        <v>75</v>
      </c>
      <c r="I844" s="111" t="s">
        <v>2191</v>
      </c>
      <c r="J844" s="111" t="s">
        <v>510</v>
      </c>
    </row>
    <row r="845" ht="18.75" hidden="1" customHeight="1">
      <c r="A845" s="111" t="s">
        <v>1590</v>
      </c>
      <c r="B845" s="111" t="s">
        <v>2281</v>
      </c>
      <c r="C845" s="111" t="s">
        <v>2282</v>
      </c>
      <c r="D845" s="111" t="s">
        <v>1593</v>
      </c>
      <c r="E845" s="111" t="s">
        <v>1594</v>
      </c>
      <c r="F845" s="112">
        <v>300.0</v>
      </c>
      <c r="G845" s="111" t="s">
        <v>2192</v>
      </c>
      <c r="H845" s="111" t="s">
        <v>1149</v>
      </c>
      <c r="I845" s="111" t="s">
        <v>2193</v>
      </c>
      <c r="J845" s="111" t="s">
        <v>1148</v>
      </c>
    </row>
    <row r="846" ht="18.75" hidden="1" customHeight="1">
      <c r="A846" s="111" t="s">
        <v>1590</v>
      </c>
      <c r="B846" s="111" t="s">
        <v>2281</v>
      </c>
      <c r="C846" s="111" t="s">
        <v>2282</v>
      </c>
      <c r="D846" s="111" t="s">
        <v>1593</v>
      </c>
      <c r="E846" s="111" t="s">
        <v>1594</v>
      </c>
      <c r="F846" s="112">
        <v>300.0</v>
      </c>
      <c r="G846" s="111" t="s">
        <v>2194</v>
      </c>
      <c r="H846" s="111" t="s">
        <v>1190</v>
      </c>
      <c r="I846" s="111" t="s">
        <v>2195</v>
      </c>
      <c r="J846" s="111" t="s">
        <v>1189</v>
      </c>
    </row>
    <row r="847" ht="18.75" hidden="1" customHeight="1">
      <c r="A847" s="111" t="s">
        <v>1590</v>
      </c>
      <c r="B847" s="111" t="s">
        <v>2281</v>
      </c>
      <c r="C847" s="111" t="s">
        <v>2282</v>
      </c>
      <c r="D847" s="111" t="s">
        <v>1593</v>
      </c>
      <c r="E847" s="111" t="s">
        <v>1594</v>
      </c>
      <c r="F847" s="112">
        <v>300.0</v>
      </c>
      <c r="G847" s="111" t="s">
        <v>2196</v>
      </c>
      <c r="H847" s="111" t="s">
        <v>295</v>
      </c>
      <c r="I847" s="111" t="s">
        <v>2197</v>
      </c>
      <c r="J847" s="111" t="s">
        <v>1429</v>
      </c>
    </row>
    <row r="848" ht="18.75" hidden="1" customHeight="1">
      <c r="A848" s="111" t="s">
        <v>1590</v>
      </c>
      <c r="B848" s="111" t="s">
        <v>2281</v>
      </c>
      <c r="C848" s="111" t="s">
        <v>2282</v>
      </c>
      <c r="D848" s="111" t="s">
        <v>1593</v>
      </c>
      <c r="E848" s="111" t="s">
        <v>1594</v>
      </c>
      <c r="F848" s="112">
        <v>300.0</v>
      </c>
      <c r="G848" s="111" t="s">
        <v>2198</v>
      </c>
      <c r="H848" s="111" t="s">
        <v>2199</v>
      </c>
      <c r="I848" s="111" t="s">
        <v>2200</v>
      </c>
      <c r="J848" s="111" t="s">
        <v>1966</v>
      </c>
    </row>
    <row r="849" ht="18.75" hidden="1" customHeight="1">
      <c r="A849" s="111" t="s">
        <v>1590</v>
      </c>
      <c r="B849" s="111" t="s">
        <v>2281</v>
      </c>
      <c r="C849" s="111" t="s">
        <v>2282</v>
      </c>
      <c r="D849" s="111" t="s">
        <v>1593</v>
      </c>
      <c r="E849" s="111" t="s">
        <v>1594</v>
      </c>
      <c r="F849" s="112">
        <v>300.0</v>
      </c>
      <c r="G849" s="111" t="s">
        <v>2201</v>
      </c>
      <c r="H849" s="111" t="s">
        <v>1327</v>
      </c>
      <c r="I849" s="111" t="s">
        <v>2202</v>
      </c>
      <c r="J849" s="111" t="s">
        <v>1329</v>
      </c>
    </row>
    <row r="850" ht="18.75" hidden="1" customHeight="1">
      <c r="A850" s="111" t="s">
        <v>1590</v>
      </c>
      <c r="B850" s="111" t="s">
        <v>2281</v>
      </c>
      <c r="C850" s="111" t="s">
        <v>2282</v>
      </c>
      <c r="D850" s="111" t="s">
        <v>1593</v>
      </c>
      <c r="E850" s="111" t="s">
        <v>1594</v>
      </c>
      <c r="F850" s="112">
        <v>300.0</v>
      </c>
      <c r="G850" s="111" t="s">
        <v>2203</v>
      </c>
      <c r="H850" s="111" t="s">
        <v>127</v>
      </c>
      <c r="I850" s="111" t="s">
        <v>2204</v>
      </c>
      <c r="J850" s="111" t="s">
        <v>712</v>
      </c>
    </row>
    <row r="851" ht="18.75" hidden="1" customHeight="1">
      <c r="A851" s="111" t="s">
        <v>1590</v>
      </c>
      <c r="B851" s="111" t="s">
        <v>2281</v>
      </c>
      <c r="C851" s="111" t="s">
        <v>2282</v>
      </c>
      <c r="D851" s="111" t="s">
        <v>1593</v>
      </c>
      <c r="E851" s="111" t="s">
        <v>1594</v>
      </c>
      <c r="F851" s="112">
        <v>300.0</v>
      </c>
      <c r="G851" s="111" t="s">
        <v>2205</v>
      </c>
      <c r="H851" s="111" t="s">
        <v>708</v>
      </c>
      <c r="I851" s="111" t="s">
        <v>2206</v>
      </c>
      <c r="J851" s="111" t="s">
        <v>2207</v>
      </c>
    </row>
    <row r="852" ht="18.75" hidden="1" customHeight="1">
      <c r="A852" s="111" t="s">
        <v>1590</v>
      </c>
      <c r="B852" s="111" t="s">
        <v>2281</v>
      </c>
      <c r="C852" s="111" t="s">
        <v>2282</v>
      </c>
      <c r="D852" s="111" t="s">
        <v>1593</v>
      </c>
      <c r="E852" s="111" t="s">
        <v>1594</v>
      </c>
      <c r="F852" s="112">
        <v>300.0</v>
      </c>
      <c r="G852" s="111" t="s">
        <v>2210</v>
      </c>
      <c r="H852" s="111" t="s">
        <v>258</v>
      </c>
      <c r="I852" s="111" t="s">
        <v>2211</v>
      </c>
      <c r="J852" s="111" t="s">
        <v>1277</v>
      </c>
    </row>
    <row r="853" ht="18.75" hidden="1" customHeight="1">
      <c r="A853" s="111" t="s">
        <v>1590</v>
      </c>
      <c r="B853" s="111" t="s">
        <v>2281</v>
      </c>
      <c r="C853" s="111" t="s">
        <v>2282</v>
      </c>
      <c r="D853" s="111" t="s">
        <v>1593</v>
      </c>
      <c r="E853" s="111" t="s">
        <v>1594</v>
      </c>
      <c r="F853" s="112">
        <v>300.0</v>
      </c>
      <c r="G853" s="111" t="s">
        <v>2212</v>
      </c>
      <c r="H853" s="111" t="s">
        <v>385</v>
      </c>
      <c r="I853" s="111" t="s">
        <v>2213</v>
      </c>
      <c r="J853" s="111" t="s">
        <v>1500</v>
      </c>
    </row>
    <row r="854" ht="18.75" hidden="1" customHeight="1">
      <c r="A854" s="111" t="s">
        <v>1590</v>
      </c>
      <c r="B854" s="111" t="s">
        <v>2281</v>
      </c>
      <c r="C854" s="111" t="s">
        <v>2282</v>
      </c>
      <c r="D854" s="111" t="s">
        <v>1593</v>
      </c>
      <c r="E854" s="111" t="s">
        <v>1594</v>
      </c>
      <c r="F854" s="112">
        <v>300.0</v>
      </c>
      <c r="G854" s="111" t="s">
        <v>2214</v>
      </c>
      <c r="H854" s="111" t="s">
        <v>1404</v>
      </c>
      <c r="I854" s="111" t="s">
        <v>2215</v>
      </c>
      <c r="J854" s="111" t="s">
        <v>1403</v>
      </c>
    </row>
    <row r="855" ht="18.75" hidden="1" customHeight="1">
      <c r="A855" s="111" t="s">
        <v>1590</v>
      </c>
      <c r="B855" s="111" t="s">
        <v>2281</v>
      </c>
      <c r="C855" s="111" t="s">
        <v>2282</v>
      </c>
      <c r="D855" s="111" t="s">
        <v>1593</v>
      </c>
      <c r="E855" s="111" t="s">
        <v>1594</v>
      </c>
      <c r="F855" s="112">
        <v>300.0</v>
      </c>
      <c r="G855" s="111" t="s">
        <v>2216</v>
      </c>
      <c r="H855" s="111" t="s">
        <v>2217</v>
      </c>
      <c r="I855" s="111" t="s">
        <v>2218</v>
      </c>
      <c r="J855" s="111" t="s">
        <v>1537</v>
      </c>
    </row>
    <row r="856" ht="18.75" hidden="1" customHeight="1">
      <c r="A856" s="111" t="s">
        <v>1590</v>
      </c>
      <c r="B856" s="111" t="s">
        <v>2281</v>
      </c>
      <c r="C856" s="111" t="s">
        <v>2282</v>
      </c>
      <c r="D856" s="111" t="s">
        <v>1593</v>
      </c>
      <c r="E856" s="111" t="s">
        <v>1594</v>
      </c>
      <c r="F856" s="112">
        <v>300.0</v>
      </c>
      <c r="G856" s="111" t="s">
        <v>2219</v>
      </c>
      <c r="H856" s="111" t="s">
        <v>174</v>
      </c>
      <c r="I856" s="111" t="s">
        <v>2220</v>
      </c>
      <c r="J856" s="111" t="s">
        <v>787</v>
      </c>
    </row>
    <row r="857" ht="18.75" hidden="1" customHeight="1">
      <c r="A857" s="111" t="s">
        <v>1590</v>
      </c>
      <c r="B857" s="111" t="s">
        <v>2281</v>
      </c>
      <c r="C857" s="111" t="s">
        <v>2282</v>
      </c>
      <c r="D857" s="111" t="s">
        <v>1593</v>
      </c>
      <c r="E857" s="111" t="s">
        <v>1594</v>
      </c>
      <c r="F857" s="112">
        <v>300.0</v>
      </c>
      <c r="G857" s="111" t="s">
        <v>2221</v>
      </c>
      <c r="H857" s="111" t="s">
        <v>1258</v>
      </c>
      <c r="I857" s="111" t="s">
        <v>2222</v>
      </c>
      <c r="J857" s="111" t="s">
        <v>1257</v>
      </c>
    </row>
    <row r="858" ht="18.75" hidden="1" customHeight="1">
      <c r="A858" s="111" t="s">
        <v>1590</v>
      </c>
      <c r="B858" s="111" t="s">
        <v>2281</v>
      </c>
      <c r="C858" s="111" t="s">
        <v>2282</v>
      </c>
      <c r="D858" s="111" t="s">
        <v>1593</v>
      </c>
      <c r="E858" s="111" t="s">
        <v>1594</v>
      </c>
      <c r="F858" s="112">
        <v>300.0</v>
      </c>
      <c r="G858" s="111" t="s">
        <v>2223</v>
      </c>
      <c r="H858" s="111" t="s">
        <v>1372</v>
      </c>
      <c r="I858" s="111" t="s">
        <v>2224</v>
      </c>
      <c r="J858" s="111" t="s">
        <v>1374</v>
      </c>
    </row>
    <row r="859" ht="18.75" hidden="1" customHeight="1">
      <c r="A859" s="111" t="s">
        <v>1590</v>
      </c>
      <c r="B859" s="111" t="s">
        <v>2281</v>
      </c>
      <c r="C859" s="111" t="s">
        <v>2282</v>
      </c>
      <c r="D859" s="111" t="s">
        <v>1593</v>
      </c>
      <c r="E859" s="111" t="s">
        <v>1594</v>
      </c>
      <c r="F859" s="112">
        <v>300.0</v>
      </c>
      <c r="G859" s="111" t="s">
        <v>2225</v>
      </c>
      <c r="H859" s="111" t="s">
        <v>413</v>
      </c>
      <c r="I859" s="111" t="s">
        <v>2226</v>
      </c>
      <c r="J859" s="111" t="s">
        <v>412</v>
      </c>
    </row>
    <row r="860" ht="18.75" hidden="1" customHeight="1">
      <c r="A860" s="111" t="s">
        <v>1590</v>
      </c>
      <c r="B860" s="111" t="s">
        <v>2281</v>
      </c>
      <c r="C860" s="111" t="s">
        <v>2282</v>
      </c>
      <c r="D860" s="111" t="s">
        <v>1593</v>
      </c>
      <c r="E860" s="111" t="s">
        <v>1594</v>
      </c>
      <c r="F860" s="112">
        <v>300.0</v>
      </c>
      <c r="G860" s="111" t="s">
        <v>2227</v>
      </c>
      <c r="H860" s="111" t="s">
        <v>99</v>
      </c>
      <c r="I860" s="111" t="s">
        <v>2228</v>
      </c>
      <c r="J860" s="111" t="s">
        <v>1139</v>
      </c>
    </row>
    <row r="861" ht="18.75" hidden="1" customHeight="1">
      <c r="A861" s="111" t="s">
        <v>1590</v>
      </c>
      <c r="B861" s="111" t="s">
        <v>2281</v>
      </c>
      <c r="C861" s="111" t="s">
        <v>2282</v>
      </c>
      <c r="D861" s="111" t="s">
        <v>1593</v>
      </c>
      <c r="E861" s="111" t="s">
        <v>1594</v>
      </c>
      <c r="F861" s="112">
        <v>300.0</v>
      </c>
      <c r="G861" s="111" t="s">
        <v>2229</v>
      </c>
      <c r="H861" s="111" t="s">
        <v>173</v>
      </c>
      <c r="I861" s="111" t="s">
        <v>2230</v>
      </c>
      <c r="J861" s="111" t="s">
        <v>779</v>
      </c>
    </row>
    <row r="862" ht="18.75" hidden="1" customHeight="1">
      <c r="A862" s="111" t="s">
        <v>1590</v>
      </c>
      <c r="B862" s="111" t="s">
        <v>2281</v>
      </c>
      <c r="C862" s="111" t="s">
        <v>2282</v>
      </c>
      <c r="D862" s="111" t="s">
        <v>1593</v>
      </c>
      <c r="E862" s="111" t="s">
        <v>1594</v>
      </c>
      <c r="F862" s="112">
        <v>300.0</v>
      </c>
      <c r="G862" s="111" t="s">
        <v>2231</v>
      </c>
      <c r="H862" s="111" t="s">
        <v>268</v>
      </c>
      <c r="I862" s="111" t="s">
        <v>2232</v>
      </c>
      <c r="J862" s="111" t="s">
        <v>1228</v>
      </c>
    </row>
    <row r="863" ht="18.75" hidden="1" customHeight="1">
      <c r="A863" s="111" t="s">
        <v>1590</v>
      </c>
      <c r="B863" s="111" t="s">
        <v>2281</v>
      </c>
      <c r="C863" s="111" t="s">
        <v>2282</v>
      </c>
      <c r="D863" s="111" t="s">
        <v>1593</v>
      </c>
      <c r="E863" s="111" t="s">
        <v>1594</v>
      </c>
      <c r="F863" s="112">
        <v>300.0</v>
      </c>
      <c r="G863" s="111" t="s">
        <v>2233</v>
      </c>
      <c r="H863" s="111" t="s">
        <v>204</v>
      </c>
      <c r="I863" s="111" t="s">
        <v>2234</v>
      </c>
      <c r="J863" s="111" t="s">
        <v>772</v>
      </c>
    </row>
    <row r="864" ht="18.75" hidden="1" customHeight="1">
      <c r="A864" s="111" t="s">
        <v>1590</v>
      </c>
      <c r="B864" s="111" t="s">
        <v>2281</v>
      </c>
      <c r="C864" s="111" t="s">
        <v>2282</v>
      </c>
      <c r="D864" s="111" t="s">
        <v>1593</v>
      </c>
      <c r="E864" s="111" t="s">
        <v>1594</v>
      </c>
      <c r="F864" s="112">
        <v>300.0</v>
      </c>
      <c r="G864" s="111" t="s">
        <v>2235</v>
      </c>
      <c r="H864" s="111" t="s">
        <v>646</v>
      </c>
      <c r="I864" s="111" t="s">
        <v>2236</v>
      </c>
      <c r="J864" s="111" t="s">
        <v>648</v>
      </c>
    </row>
    <row r="865" ht="18.75" hidden="1" customHeight="1">
      <c r="A865" s="111" t="s">
        <v>1590</v>
      </c>
      <c r="B865" s="111" t="s">
        <v>2281</v>
      </c>
      <c r="C865" s="111" t="s">
        <v>2282</v>
      </c>
      <c r="D865" s="111" t="s">
        <v>1593</v>
      </c>
      <c r="E865" s="111" t="s">
        <v>1594</v>
      </c>
      <c r="F865" s="112">
        <v>300.0</v>
      </c>
      <c r="G865" s="111" t="s">
        <v>2237</v>
      </c>
      <c r="H865" s="111" t="s">
        <v>239</v>
      </c>
      <c r="I865" s="111" t="s">
        <v>2238</v>
      </c>
      <c r="J865" s="111" t="s">
        <v>1201</v>
      </c>
    </row>
    <row r="866" ht="18.75" hidden="1" customHeight="1">
      <c r="A866" s="111" t="s">
        <v>1590</v>
      </c>
      <c r="B866" s="111" t="s">
        <v>2281</v>
      </c>
      <c r="C866" s="111" t="s">
        <v>2282</v>
      </c>
      <c r="D866" s="111" t="s">
        <v>1593</v>
      </c>
      <c r="E866" s="111" t="s">
        <v>1594</v>
      </c>
      <c r="F866" s="112">
        <v>300.0</v>
      </c>
      <c r="G866" s="111" t="s">
        <v>2239</v>
      </c>
      <c r="H866" s="111" t="s">
        <v>618</v>
      </c>
      <c r="I866" s="111" t="s">
        <v>2240</v>
      </c>
      <c r="J866" s="111" t="s">
        <v>626</v>
      </c>
    </row>
    <row r="867" ht="18.75" hidden="1" customHeight="1">
      <c r="A867" s="111" t="s">
        <v>1590</v>
      </c>
      <c r="B867" s="111" t="s">
        <v>2281</v>
      </c>
      <c r="C867" s="111" t="s">
        <v>2282</v>
      </c>
      <c r="D867" s="111" t="s">
        <v>1593</v>
      </c>
      <c r="E867" s="111" t="s">
        <v>1594</v>
      </c>
      <c r="F867" s="112">
        <v>300.0</v>
      </c>
      <c r="G867" s="111" t="s">
        <v>2241</v>
      </c>
      <c r="H867" s="111" t="s">
        <v>389</v>
      </c>
      <c r="I867" s="111" t="s">
        <v>2242</v>
      </c>
      <c r="J867" s="111" t="s">
        <v>1320</v>
      </c>
    </row>
    <row r="868" ht="18.75" hidden="1" customHeight="1">
      <c r="A868" s="111" t="s">
        <v>1590</v>
      </c>
      <c r="B868" s="111" t="s">
        <v>2281</v>
      </c>
      <c r="C868" s="111" t="s">
        <v>2282</v>
      </c>
      <c r="D868" s="111" t="s">
        <v>1593</v>
      </c>
      <c r="E868" s="111" t="s">
        <v>1594</v>
      </c>
      <c r="F868" s="112">
        <v>300.0</v>
      </c>
      <c r="G868" s="111" t="s">
        <v>2243</v>
      </c>
      <c r="H868" s="111" t="s">
        <v>128</v>
      </c>
      <c r="I868" s="111" t="s">
        <v>2244</v>
      </c>
      <c r="J868" s="111" t="s">
        <v>679</v>
      </c>
    </row>
    <row r="869" ht="18.75" hidden="1" customHeight="1">
      <c r="A869" s="111" t="s">
        <v>1590</v>
      </c>
      <c r="B869" s="111" t="s">
        <v>2281</v>
      </c>
      <c r="C869" s="111" t="s">
        <v>2282</v>
      </c>
      <c r="D869" s="111" t="s">
        <v>1593</v>
      </c>
      <c r="E869" s="111" t="s">
        <v>1594</v>
      </c>
      <c r="F869" s="112">
        <v>300.0</v>
      </c>
      <c r="G869" s="111" t="s">
        <v>2245</v>
      </c>
      <c r="H869" s="111" t="s">
        <v>330</v>
      </c>
      <c r="I869" s="111" t="s">
        <v>2246</v>
      </c>
      <c r="J869" s="111" t="s">
        <v>1162</v>
      </c>
    </row>
    <row r="870" ht="18.75" hidden="1" customHeight="1">
      <c r="A870" s="111" t="s">
        <v>1590</v>
      </c>
      <c r="B870" s="111" t="s">
        <v>2281</v>
      </c>
      <c r="C870" s="111" t="s">
        <v>2282</v>
      </c>
      <c r="D870" s="111" t="s">
        <v>1593</v>
      </c>
      <c r="E870" s="111" t="s">
        <v>1594</v>
      </c>
      <c r="F870" s="112">
        <v>300.0</v>
      </c>
      <c r="G870" s="111" t="s">
        <v>2247</v>
      </c>
      <c r="H870" s="111" t="s">
        <v>391</v>
      </c>
      <c r="I870" s="111" t="s">
        <v>2248</v>
      </c>
      <c r="J870" s="111" t="s">
        <v>1342</v>
      </c>
    </row>
    <row r="871" ht="18.75" hidden="1" customHeight="1">
      <c r="A871" s="111" t="s">
        <v>1590</v>
      </c>
      <c r="B871" s="111" t="s">
        <v>2281</v>
      </c>
      <c r="C871" s="111" t="s">
        <v>2282</v>
      </c>
      <c r="D871" s="111" t="s">
        <v>1593</v>
      </c>
      <c r="E871" s="111" t="s">
        <v>1594</v>
      </c>
      <c r="F871" s="112">
        <v>300.0</v>
      </c>
      <c r="G871" s="111" t="s">
        <v>2249</v>
      </c>
      <c r="H871" s="111" t="s">
        <v>1477</v>
      </c>
      <c r="I871" s="111" t="s">
        <v>2250</v>
      </c>
      <c r="J871" s="111" t="s">
        <v>1479</v>
      </c>
    </row>
    <row r="872" ht="18.75" hidden="1" customHeight="1">
      <c r="A872" s="111" t="s">
        <v>1590</v>
      </c>
      <c r="B872" s="111" t="s">
        <v>2281</v>
      </c>
      <c r="C872" s="111" t="s">
        <v>2282</v>
      </c>
      <c r="D872" s="111" t="s">
        <v>1593</v>
      </c>
      <c r="E872" s="111" t="s">
        <v>1594</v>
      </c>
      <c r="F872" s="112">
        <v>300.0</v>
      </c>
      <c r="G872" s="111" t="s">
        <v>2251</v>
      </c>
      <c r="H872" s="111" t="s">
        <v>1078</v>
      </c>
      <c r="I872" s="111" t="s">
        <v>2252</v>
      </c>
      <c r="J872" s="111" t="s">
        <v>1077</v>
      </c>
    </row>
    <row r="873" ht="18.75" hidden="1" customHeight="1">
      <c r="A873" s="111" t="s">
        <v>1590</v>
      </c>
      <c r="B873" s="111" t="s">
        <v>2281</v>
      </c>
      <c r="C873" s="111" t="s">
        <v>2282</v>
      </c>
      <c r="D873" s="111" t="s">
        <v>1593</v>
      </c>
      <c r="E873" s="111" t="s">
        <v>1594</v>
      </c>
      <c r="F873" s="112">
        <v>300.0</v>
      </c>
      <c r="G873" s="111" t="s">
        <v>2253</v>
      </c>
      <c r="H873" s="111" t="s">
        <v>1283</v>
      </c>
      <c r="I873" s="111" t="s">
        <v>2254</v>
      </c>
      <c r="J873" s="111" t="s">
        <v>1282</v>
      </c>
    </row>
    <row r="874" ht="18.75" hidden="1" customHeight="1">
      <c r="A874" s="111" t="s">
        <v>1590</v>
      </c>
      <c r="B874" s="111" t="s">
        <v>2281</v>
      </c>
      <c r="C874" s="111" t="s">
        <v>2282</v>
      </c>
      <c r="D874" s="111" t="s">
        <v>1593</v>
      </c>
      <c r="E874" s="111" t="s">
        <v>1594</v>
      </c>
      <c r="F874" s="112">
        <v>300.0</v>
      </c>
      <c r="G874" s="111" t="s">
        <v>2255</v>
      </c>
      <c r="H874" s="111" t="s">
        <v>1365</v>
      </c>
      <c r="I874" s="111" t="s">
        <v>2256</v>
      </c>
      <c r="J874" s="111" t="s">
        <v>1364</v>
      </c>
    </row>
    <row r="875" ht="18.75" hidden="1" customHeight="1">
      <c r="A875" s="111" t="s">
        <v>1590</v>
      </c>
      <c r="B875" s="111" t="s">
        <v>2281</v>
      </c>
      <c r="C875" s="111" t="s">
        <v>2282</v>
      </c>
      <c r="D875" s="111" t="s">
        <v>1593</v>
      </c>
      <c r="E875" s="111" t="s">
        <v>1594</v>
      </c>
      <c r="F875" s="112">
        <v>300.0</v>
      </c>
      <c r="G875" s="111" t="s">
        <v>2257</v>
      </c>
      <c r="H875" s="111" t="s">
        <v>152</v>
      </c>
      <c r="I875" s="111" t="s">
        <v>2258</v>
      </c>
      <c r="J875" s="111" t="s">
        <v>1459</v>
      </c>
    </row>
    <row r="876" ht="18.75" hidden="1" customHeight="1">
      <c r="A876" s="111" t="s">
        <v>1590</v>
      </c>
      <c r="B876" s="111" t="s">
        <v>2281</v>
      </c>
      <c r="C876" s="111" t="s">
        <v>2282</v>
      </c>
      <c r="D876" s="111" t="s">
        <v>1593</v>
      </c>
      <c r="E876" s="111" t="s">
        <v>1594</v>
      </c>
      <c r="F876" s="112">
        <v>300.0</v>
      </c>
      <c r="G876" s="111" t="s">
        <v>2259</v>
      </c>
      <c r="H876" s="111" t="s">
        <v>337</v>
      </c>
      <c r="I876" s="111" t="s">
        <v>2260</v>
      </c>
      <c r="J876" s="111" t="s">
        <v>549</v>
      </c>
    </row>
    <row r="877" ht="18.75" hidden="1" customHeight="1">
      <c r="A877" s="111" t="s">
        <v>1590</v>
      </c>
      <c r="B877" s="111" t="s">
        <v>2281</v>
      </c>
      <c r="C877" s="111" t="s">
        <v>2282</v>
      </c>
      <c r="D877" s="111" t="s">
        <v>1593</v>
      </c>
      <c r="E877" s="111" t="s">
        <v>1594</v>
      </c>
      <c r="F877" s="112">
        <v>300.0</v>
      </c>
      <c r="G877" s="111" t="s">
        <v>2261</v>
      </c>
      <c r="H877" s="111" t="s">
        <v>184</v>
      </c>
      <c r="I877" s="111" t="s">
        <v>2262</v>
      </c>
      <c r="J877" s="111" t="s">
        <v>889</v>
      </c>
    </row>
    <row r="878" ht="18.75" hidden="1" customHeight="1">
      <c r="A878" s="111" t="s">
        <v>1590</v>
      </c>
      <c r="B878" s="111" t="s">
        <v>2281</v>
      </c>
      <c r="C878" s="111" t="s">
        <v>2282</v>
      </c>
      <c r="D878" s="111" t="s">
        <v>1593</v>
      </c>
      <c r="E878" s="111" t="s">
        <v>1594</v>
      </c>
      <c r="F878" s="112">
        <v>300.0</v>
      </c>
      <c r="G878" s="111" t="s">
        <v>2263</v>
      </c>
      <c r="H878" s="111" t="s">
        <v>122</v>
      </c>
      <c r="I878" s="111" t="s">
        <v>2264</v>
      </c>
      <c r="J878" s="111" t="s">
        <v>1158</v>
      </c>
    </row>
    <row r="879" ht="18.75" hidden="1" customHeight="1">
      <c r="A879" s="111" t="s">
        <v>1590</v>
      </c>
      <c r="B879" s="111" t="s">
        <v>2281</v>
      </c>
      <c r="C879" s="111" t="s">
        <v>2282</v>
      </c>
      <c r="D879" s="111" t="s">
        <v>1593</v>
      </c>
      <c r="E879" s="111" t="s">
        <v>1594</v>
      </c>
      <c r="F879" s="112">
        <v>300.0</v>
      </c>
      <c r="G879" s="111" t="s">
        <v>2265</v>
      </c>
      <c r="H879" s="111" t="s">
        <v>89</v>
      </c>
      <c r="I879" s="111" t="s">
        <v>2266</v>
      </c>
      <c r="J879" s="111" t="s">
        <v>86</v>
      </c>
    </row>
    <row r="880" ht="18.75" hidden="1" customHeight="1">
      <c r="A880" s="111" t="s">
        <v>1590</v>
      </c>
      <c r="B880" s="111" t="s">
        <v>2281</v>
      </c>
      <c r="C880" s="111" t="s">
        <v>2282</v>
      </c>
      <c r="D880" s="111" t="s">
        <v>1593</v>
      </c>
      <c r="E880" s="111" t="s">
        <v>1594</v>
      </c>
      <c r="F880" s="112">
        <v>300.0</v>
      </c>
      <c r="G880" s="111" t="s">
        <v>2267</v>
      </c>
      <c r="H880" s="111" t="s">
        <v>835</v>
      </c>
      <c r="I880" s="111" t="s">
        <v>2268</v>
      </c>
      <c r="J880" s="111" t="s">
        <v>834</v>
      </c>
    </row>
    <row r="881" ht="18.75" hidden="1" customHeight="1">
      <c r="A881" s="111" t="s">
        <v>1590</v>
      </c>
      <c r="B881" s="111" t="s">
        <v>2281</v>
      </c>
      <c r="C881" s="111" t="s">
        <v>2282</v>
      </c>
      <c r="D881" s="111" t="s">
        <v>1593</v>
      </c>
      <c r="E881" s="111" t="s">
        <v>1594</v>
      </c>
      <c r="F881" s="112">
        <v>300.0</v>
      </c>
      <c r="G881" s="111" t="s">
        <v>2269</v>
      </c>
      <c r="H881" s="111" t="s">
        <v>334</v>
      </c>
      <c r="I881" s="111" t="s">
        <v>2270</v>
      </c>
      <c r="J881" s="111" t="s">
        <v>865</v>
      </c>
    </row>
    <row r="882" ht="18.75" hidden="1" customHeight="1">
      <c r="A882" s="111" t="s">
        <v>1590</v>
      </c>
      <c r="B882" s="111" t="s">
        <v>2281</v>
      </c>
      <c r="C882" s="111" t="s">
        <v>2282</v>
      </c>
      <c r="D882" s="111" t="s">
        <v>1593</v>
      </c>
      <c r="E882" s="111" t="s">
        <v>1594</v>
      </c>
      <c r="F882" s="112">
        <v>300.0</v>
      </c>
      <c r="G882" s="111" t="s">
        <v>2271</v>
      </c>
      <c r="H882" s="111" t="s">
        <v>327</v>
      </c>
      <c r="I882" s="111" t="s">
        <v>2272</v>
      </c>
      <c r="J882" s="111" t="s">
        <v>1269</v>
      </c>
    </row>
    <row r="883" ht="18.75" hidden="1" customHeight="1">
      <c r="A883" s="111" t="s">
        <v>1590</v>
      </c>
      <c r="B883" s="111" t="s">
        <v>2281</v>
      </c>
      <c r="C883" s="111" t="s">
        <v>2282</v>
      </c>
      <c r="D883" s="111" t="s">
        <v>1593</v>
      </c>
      <c r="E883" s="111" t="s">
        <v>1594</v>
      </c>
      <c r="F883" s="112">
        <v>300.0</v>
      </c>
      <c r="G883" s="111" t="s">
        <v>2273</v>
      </c>
      <c r="H883" s="111" t="s">
        <v>231</v>
      </c>
      <c r="I883" s="111" t="s">
        <v>2274</v>
      </c>
      <c r="J883" s="111" t="s">
        <v>1182</v>
      </c>
    </row>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J$883">
    <filterColumn colId="2">
      <filters>
        <filter val="001-000-LE"/>
      </filters>
    </filterColumn>
  </autoFilter>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2.0"/>
    <col customWidth="1" min="2" max="2" width="18.75"/>
    <col customWidth="1" min="3" max="3" width="23.13"/>
    <col customWidth="1" min="4" max="4" width="16.38"/>
    <col customWidth="1" min="5" max="5" width="28.38"/>
    <col customWidth="1" min="6" max="6" width="30.88"/>
    <col customWidth="1" min="7" max="7" width="18.88"/>
    <col customWidth="1" min="8" max="23" width="7.63"/>
  </cols>
  <sheetData>
    <row r="1" ht="18.75" customHeight="1">
      <c r="A1" s="110" t="s">
        <v>1579</v>
      </c>
      <c r="B1" s="110" t="s">
        <v>1580</v>
      </c>
      <c r="C1" s="110" t="s">
        <v>1585</v>
      </c>
      <c r="D1" s="110" t="s">
        <v>1586</v>
      </c>
      <c r="E1" s="110" t="s">
        <v>1587</v>
      </c>
      <c r="F1" s="110" t="s">
        <v>1588</v>
      </c>
      <c r="G1" s="11" t="s">
        <v>1852</v>
      </c>
    </row>
    <row r="2" ht="18.75" customHeight="1">
      <c r="A2" s="111" t="s">
        <v>1590</v>
      </c>
      <c r="B2" s="111" t="s">
        <v>1591</v>
      </c>
      <c r="C2" s="111" t="s">
        <v>1596</v>
      </c>
      <c r="D2" s="111" t="s">
        <v>1597</v>
      </c>
      <c r="E2" s="111" t="s">
        <v>1598</v>
      </c>
      <c r="F2" s="111" t="s">
        <v>1599</v>
      </c>
      <c r="G2" s="19" t="str">
        <f>IF(COUNTIF(bystudent!B:B, C2) &gt; 0, "yes", "no")</f>
        <v>yes</v>
      </c>
    </row>
    <row r="3" ht="18.75" customHeight="1">
      <c r="A3" s="111" t="s">
        <v>1590</v>
      </c>
      <c r="B3" s="111" t="s">
        <v>1591</v>
      </c>
      <c r="C3" s="111" t="s">
        <v>1601</v>
      </c>
      <c r="D3" s="111" t="s">
        <v>1602</v>
      </c>
      <c r="E3" s="111" t="s">
        <v>1603</v>
      </c>
      <c r="F3" s="111" t="s">
        <v>1604</v>
      </c>
      <c r="G3" s="19" t="str">
        <f>IF(COUNTIF(bystudent!B:B, C3) &gt; 0, "yes", "no")</f>
        <v>yes</v>
      </c>
    </row>
    <row r="4" ht="18.75" customHeight="1">
      <c r="A4" s="111" t="s">
        <v>1590</v>
      </c>
      <c r="B4" s="111" t="s">
        <v>1591</v>
      </c>
      <c r="C4" s="111" t="s">
        <v>1605</v>
      </c>
      <c r="D4" s="111" t="s">
        <v>1606</v>
      </c>
      <c r="E4" s="111" t="s">
        <v>1607</v>
      </c>
      <c r="F4" s="111" t="s">
        <v>1608</v>
      </c>
      <c r="G4" s="19" t="str">
        <f>IF(COUNTIF(bystudent!B:B, C4) &gt; 0, "yes", "no")</f>
        <v>yes</v>
      </c>
    </row>
    <row r="5" ht="18.75" customHeight="1">
      <c r="A5" s="111" t="s">
        <v>1590</v>
      </c>
      <c r="B5" s="111" t="s">
        <v>1591</v>
      </c>
      <c r="C5" s="111" t="s">
        <v>1609</v>
      </c>
      <c r="D5" s="111" t="s">
        <v>1610</v>
      </c>
      <c r="E5" s="111" t="s">
        <v>1611</v>
      </c>
      <c r="F5" s="111" t="s">
        <v>1612</v>
      </c>
      <c r="G5" s="19" t="str">
        <f>IF(COUNTIF(bystudent!B:B, C5) &gt; 0, "yes", "no")</f>
        <v>yes</v>
      </c>
    </row>
    <row r="6" ht="18.75" customHeight="1">
      <c r="A6" s="111" t="s">
        <v>1590</v>
      </c>
      <c r="B6" s="111" t="s">
        <v>1591</v>
      </c>
      <c r="C6" s="111" t="s">
        <v>1614</v>
      </c>
      <c r="D6" s="111" t="s">
        <v>1615</v>
      </c>
      <c r="E6" s="111" t="s">
        <v>1616</v>
      </c>
      <c r="F6" s="111" t="s">
        <v>1617</v>
      </c>
      <c r="G6" s="19" t="str">
        <f>IF(COUNTIF(bystudent!B:B, C6) &gt; 0, "yes", "no")</f>
        <v>yes</v>
      </c>
    </row>
    <row r="7" ht="18.75" customHeight="1">
      <c r="A7" s="111" t="s">
        <v>1590</v>
      </c>
      <c r="B7" s="111" t="s">
        <v>1591</v>
      </c>
      <c r="C7" s="111" t="s">
        <v>1618</v>
      </c>
      <c r="D7" s="111" t="s">
        <v>1619</v>
      </c>
      <c r="E7" s="111" t="s">
        <v>1620</v>
      </c>
      <c r="F7" s="111" t="s">
        <v>1621</v>
      </c>
      <c r="G7" s="19" t="str">
        <f>IF(COUNTIF(bystudent!B:B, C7) &gt; 0, "yes", "no")</f>
        <v>yes</v>
      </c>
    </row>
    <row r="8" ht="18.75" customHeight="1">
      <c r="A8" s="111" t="s">
        <v>1590</v>
      </c>
      <c r="B8" s="111" t="s">
        <v>1591</v>
      </c>
      <c r="C8" s="111" t="s">
        <v>1622</v>
      </c>
      <c r="D8" s="111" t="s">
        <v>1241</v>
      </c>
      <c r="E8" s="111" t="s">
        <v>1623</v>
      </c>
      <c r="F8" s="111" t="s">
        <v>1244</v>
      </c>
      <c r="G8" s="19" t="str">
        <f>IF(COUNTIF(bystudent!B:B, C8) &gt; 0, "yes", "no")</f>
        <v>yes</v>
      </c>
    </row>
    <row r="9" ht="18.75" customHeight="1">
      <c r="A9" s="111" t="s">
        <v>1590</v>
      </c>
      <c r="B9" s="111" t="s">
        <v>1591</v>
      </c>
      <c r="C9" s="111" t="s">
        <v>1624</v>
      </c>
      <c r="D9" s="111" t="s">
        <v>1377</v>
      </c>
      <c r="E9" s="111" t="s">
        <v>1625</v>
      </c>
      <c r="F9" s="111" t="s">
        <v>1376</v>
      </c>
      <c r="G9" s="19" t="str">
        <f>IF(COUNTIF(bystudent!B:B, C9) &gt; 0, "yes", "no")</f>
        <v>yes</v>
      </c>
    </row>
    <row r="10" ht="18.75" customHeight="1">
      <c r="A10" s="111" t="s">
        <v>1590</v>
      </c>
      <c r="B10" s="111" t="s">
        <v>1591</v>
      </c>
      <c r="C10" s="111" t="s">
        <v>1627</v>
      </c>
      <c r="D10" s="111" t="s">
        <v>506</v>
      </c>
      <c r="E10" s="111" t="s">
        <v>1628</v>
      </c>
      <c r="F10" s="111" t="s">
        <v>508</v>
      </c>
      <c r="G10" s="19" t="str">
        <f>IF(COUNTIF(bystudent!B:B, C10) &gt; 0, "yes", "no")</f>
        <v>yes</v>
      </c>
    </row>
    <row r="11" ht="18.75" customHeight="1">
      <c r="A11" s="111" t="s">
        <v>1590</v>
      </c>
      <c r="B11" s="111" t="s">
        <v>1591</v>
      </c>
      <c r="C11" s="111" t="s">
        <v>1629</v>
      </c>
      <c r="D11" s="111" t="s">
        <v>1434</v>
      </c>
      <c r="E11" s="111" t="s">
        <v>1630</v>
      </c>
      <c r="F11" s="111" t="s">
        <v>1433</v>
      </c>
      <c r="G11" s="19" t="str">
        <f>IF(COUNTIF(bystudent!B:B, C11) &gt; 0, "yes", "no")</f>
        <v>yes</v>
      </c>
    </row>
    <row r="12" ht="18.75" customHeight="1">
      <c r="A12" s="111" t="s">
        <v>1590</v>
      </c>
      <c r="B12" s="111" t="s">
        <v>1591</v>
      </c>
      <c r="C12" s="111" t="s">
        <v>1631</v>
      </c>
      <c r="D12" s="111" t="s">
        <v>161</v>
      </c>
      <c r="E12" s="111" t="s">
        <v>1633</v>
      </c>
      <c r="F12" s="111" t="s">
        <v>1122</v>
      </c>
      <c r="G12" s="19" t="str">
        <f>IF(COUNTIF(bystudent!B:B, C12) &gt; 0, "yes", "no")</f>
        <v>yes</v>
      </c>
    </row>
    <row r="13" ht="18.75" customHeight="1">
      <c r="A13" s="111" t="s">
        <v>1590</v>
      </c>
      <c r="B13" s="111" t="s">
        <v>1591</v>
      </c>
      <c r="C13" s="111" t="s">
        <v>1634</v>
      </c>
      <c r="D13" s="111" t="s">
        <v>214</v>
      </c>
      <c r="E13" s="111" t="s">
        <v>1635</v>
      </c>
      <c r="F13" s="111" t="s">
        <v>1009</v>
      </c>
      <c r="G13" s="19" t="str">
        <f>IF(COUNTIF(bystudent!B:B, C13) &gt; 0, "yes", "no")</f>
        <v>yes</v>
      </c>
    </row>
    <row r="14" ht="18.75" customHeight="1">
      <c r="A14" s="111" t="s">
        <v>1590</v>
      </c>
      <c r="B14" s="111" t="s">
        <v>1591</v>
      </c>
      <c r="C14" s="111" t="s">
        <v>1636</v>
      </c>
      <c r="D14" s="111" t="s">
        <v>351</v>
      </c>
      <c r="E14" s="111" t="s">
        <v>1637</v>
      </c>
      <c r="F14" s="111" t="s">
        <v>350</v>
      </c>
      <c r="G14" s="19" t="str">
        <f>IF(COUNTIF(bystudent!B:B, C14) &gt; 0, "yes", "no")</f>
        <v>yes</v>
      </c>
    </row>
    <row r="15" ht="18.75" customHeight="1">
      <c r="A15" s="111" t="s">
        <v>1590</v>
      </c>
      <c r="B15" s="111" t="s">
        <v>1591</v>
      </c>
      <c r="C15" s="111" t="s">
        <v>1639</v>
      </c>
      <c r="D15" s="111" t="s">
        <v>212</v>
      </c>
      <c r="E15" s="111" t="s">
        <v>1640</v>
      </c>
      <c r="F15" s="111" t="s">
        <v>1069</v>
      </c>
      <c r="G15" s="19" t="str">
        <f>IF(COUNTIF(bystudent!B:B, C15) &gt; 0, "yes", "no")</f>
        <v>yes</v>
      </c>
    </row>
    <row r="16" ht="18.75" customHeight="1">
      <c r="A16" s="111" t="s">
        <v>1590</v>
      </c>
      <c r="B16" s="111" t="s">
        <v>1591</v>
      </c>
      <c r="C16" s="111" t="s">
        <v>1641</v>
      </c>
      <c r="D16" s="111" t="s">
        <v>96</v>
      </c>
      <c r="E16" s="111" t="s">
        <v>1642</v>
      </c>
      <c r="F16" s="111" t="s">
        <v>885</v>
      </c>
      <c r="G16" s="19" t="str">
        <f>IF(COUNTIF(bystudent!B:B, C16) &gt; 0, "yes", "no")</f>
        <v>yes</v>
      </c>
    </row>
    <row r="17" ht="18.75" customHeight="1">
      <c r="A17" s="111" t="s">
        <v>1590</v>
      </c>
      <c r="B17" s="111" t="s">
        <v>1591</v>
      </c>
      <c r="C17" s="111" t="s">
        <v>1644</v>
      </c>
      <c r="D17" s="111" t="s">
        <v>605</v>
      </c>
      <c r="E17" s="111" t="s">
        <v>1645</v>
      </c>
      <c r="F17" s="111" t="s">
        <v>608</v>
      </c>
      <c r="G17" s="19" t="str">
        <f>IF(COUNTIF(bystudent!B:B, C17) &gt; 0, "yes", "no")</f>
        <v>yes</v>
      </c>
    </row>
    <row r="18" ht="18.75" customHeight="1">
      <c r="A18" s="111" t="s">
        <v>1590</v>
      </c>
      <c r="B18" s="111" t="s">
        <v>1591</v>
      </c>
      <c r="C18" s="111" t="s">
        <v>1647</v>
      </c>
      <c r="D18" s="111" t="s">
        <v>1231</v>
      </c>
      <c r="E18" s="111" t="s">
        <v>1648</v>
      </c>
      <c r="F18" s="111" t="s">
        <v>1233</v>
      </c>
      <c r="G18" s="19" t="str">
        <f>IF(COUNTIF(bystudent!B:B, C18) &gt; 0, "yes", "no")</f>
        <v>yes</v>
      </c>
    </row>
    <row r="19" ht="18.75" customHeight="1">
      <c r="A19" s="111" t="s">
        <v>1590</v>
      </c>
      <c r="B19" s="111" t="s">
        <v>1591</v>
      </c>
      <c r="C19" s="111" t="s">
        <v>1650</v>
      </c>
      <c r="D19" s="111" t="s">
        <v>402</v>
      </c>
      <c r="E19" s="111" t="s">
        <v>1651</v>
      </c>
      <c r="F19" s="111" t="s">
        <v>1652</v>
      </c>
      <c r="G19" s="19" t="str">
        <f>IF(COUNTIF(bystudent!B:B, C19) &gt; 0, "yes", "no")</f>
        <v>yes</v>
      </c>
    </row>
    <row r="20" ht="18.75" customHeight="1">
      <c r="A20" s="111" t="s">
        <v>1590</v>
      </c>
      <c r="B20" s="111" t="s">
        <v>1591</v>
      </c>
      <c r="C20" s="111" t="s">
        <v>1654</v>
      </c>
      <c r="D20" s="111" t="s">
        <v>491</v>
      </c>
      <c r="E20" s="111" t="s">
        <v>1655</v>
      </c>
      <c r="F20" s="111" t="s">
        <v>490</v>
      </c>
      <c r="G20" s="19" t="str">
        <f>IF(COUNTIF(bystudent!B:B, C20) &gt; 0, "yes", "no")</f>
        <v>yes</v>
      </c>
    </row>
    <row r="21" ht="18.75" customHeight="1">
      <c r="A21" s="111" t="s">
        <v>1590</v>
      </c>
      <c r="B21" s="111" t="s">
        <v>1591</v>
      </c>
      <c r="C21" s="111" t="s">
        <v>1656</v>
      </c>
      <c r="D21" s="111" t="s">
        <v>425</v>
      </c>
      <c r="E21" s="111" t="s">
        <v>1657</v>
      </c>
      <c r="F21" s="111" t="s">
        <v>424</v>
      </c>
      <c r="G21" s="19" t="str">
        <f>IF(COUNTIF(bystudent!B:B, C21) &gt; 0, "yes", "no")</f>
        <v>yes</v>
      </c>
    </row>
    <row r="22" ht="18.75" customHeight="1">
      <c r="A22" s="111" t="s">
        <v>1590</v>
      </c>
      <c r="B22" s="111" t="s">
        <v>1591</v>
      </c>
      <c r="C22" s="111" t="s">
        <v>1659</v>
      </c>
      <c r="D22" s="111" t="s">
        <v>101</v>
      </c>
      <c r="E22" s="111" t="s">
        <v>1660</v>
      </c>
      <c r="F22" s="111" t="s">
        <v>1250</v>
      </c>
      <c r="G22" s="19" t="str">
        <f>IF(COUNTIF(bystudent!B:B, C22) &gt; 0, "yes", "no")</f>
        <v>yes</v>
      </c>
    </row>
    <row r="23" ht="18.75" customHeight="1">
      <c r="A23" s="111" t="s">
        <v>1590</v>
      </c>
      <c r="B23" s="111" t="s">
        <v>1591</v>
      </c>
      <c r="C23" s="111" t="s">
        <v>1662</v>
      </c>
      <c r="D23" s="111" t="s">
        <v>652</v>
      </c>
      <c r="E23" s="111" t="s">
        <v>1663</v>
      </c>
      <c r="F23" s="111" t="s">
        <v>656</v>
      </c>
      <c r="G23" s="19" t="str">
        <f>IF(COUNTIF(bystudent!B:B, C23) &gt; 0, "yes", "no")</f>
        <v>yes</v>
      </c>
    </row>
    <row r="24" ht="18.75" customHeight="1">
      <c r="A24" s="111" t="s">
        <v>1590</v>
      </c>
      <c r="B24" s="111" t="s">
        <v>1591</v>
      </c>
      <c r="C24" s="111" t="s">
        <v>1664</v>
      </c>
      <c r="D24" s="111" t="s">
        <v>65</v>
      </c>
      <c r="E24" s="111" t="s">
        <v>1665</v>
      </c>
      <c r="F24" s="111" t="s">
        <v>62</v>
      </c>
      <c r="G24" s="19" t="str">
        <f>IF(COUNTIF(bystudent!B:B, C24) &gt; 0, "yes", "no")</f>
        <v>yes</v>
      </c>
    </row>
    <row r="25" ht="18.75" customHeight="1">
      <c r="A25" s="111" t="s">
        <v>1590</v>
      </c>
      <c r="B25" s="111" t="s">
        <v>1591</v>
      </c>
      <c r="C25" s="111" t="s">
        <v>1667</v>
      </c>
      <c r="D25" s="111" t="s">
        <v>285</v>
      </c>
      <c r="E25" s="111" t="s">
        <v>1668</v>
      </c>
      <c r="F25" s="111" t="s">
        <v>716</v>
      </c>
      <c r="G25" s="19" t="str">
        <f>IF(COUNTIF(bystudent!B:B, C25) &gt; 0, "yes", "no")</f>
        <v>yes</v>
      </c>
    </row>
    <row r="26" ht="18.75" customHeight="1">
      <c r="A26" s="111" t="s">
        <v>1590</v>
      </c>
      <c r="B26" s="111" t="s">
        <v>1591</v>
      </c>
      <c r="C26" s="111" t="s">
        <v>1669</v>
      </c>
      <c r="D26" s="111" t="s">
        <v>1402</v>
      </c>
      <c r="E26" s="111" t="s">
        <v>1670</v>
      </c>
      <c r="F26" s="111" t="s">
        <v>1408</v>
      </c>
      <c r="G26" s="19" t="str">
        <f>IF(COUNTIF(bystudent!B:B, C26) &gt; 0, "yes", "no")</f>
        <v>yes</v>
      </c>
    </row>
    <row r="27" ht="18.75" customHeight="1">
      <c r="A27" s="111" t="s">
        <v>1590</v>
      </c>
      <c r="B27" s="111" t="s">
        <v>1591</v>
      </c>
      <c r="C27" s="111" t="s">
        <v>1672</v>
      </c>
      <c r="D27" s="111" t="s">
        <v>149</v>
      </c>
      <c r="E27" s="111" t="s">
        <v>1673</v>
      </c>
      <c r="F27" s="111" t="s">
        <v>756</v>
      </c>
      <c r="G27" s="19" t="str">
        <f>IF(COUNTIF(bystudent!B:B, C27) &gt; 0, "yes", "no")</f>
        <v>yes</v>
      </c>
    </row>
    <row r="28" ht="18.75" customHeight="1">
      <c r="A28" s="111" t="s">
        <v>1590</v>
      </c>
      <c r="B28" s="111" t="s">
        <v>1591</v>
      </c>
      <c r="C28" s="111" t="s">
        <v>1674</v>
      </c>
      <c r="D28" s="111" t="s">
        <v>934</v>
      </c>
      <c r="E28" s="111" t="s">
        <v>1676</v>
      </c>
      <c r="F28" s="111" t="s">
        <v>933</v>
      </c>
      <c r="G28" s="19" t="str">
        <f>IF(COUNTIF(bystudent!B:B, C28) &gt; 0, "yes", "no")</f>
        <v>yes</v>
      </c>
    </row>
    <row r="29" ht="18.75" customHeight="1">
      <c r="A29" s="111" t="s">
        <v>1590</v>
      </c>
      <c r="B29" s="111" t="s">
        <v>1591</v>
      </c>
      <c r="C29" s="111" t="s">
        <v>1677</v>
      </c>
      <c r="D29" s="111" t="s">
        <v>1678</v>
      </c>
      <c r="E29" s="111" t="s">
        <v>1679</v>
      </c>
      <c r="F29" s="111" t="s">
        <v>1543</v>
      </c>
      <c r="G29" s="19" t="str">
        <f>IF(COUNTIF(bystudent!B:B, C29) &gt; 0, "yes", "no")</f>
        <v>yes</v>
      </c>
    </row>
    <row r="30" ht="18.75" customHeight="1">
      <c r="A30" s="111" t="s">
        <v>1590</v>
      </c>
      <c r="B30" s="111" t="s">
        <v>1591</v>
      </c>
      <c r="C30" s="111" t="s">
        <v>1680</v>
      </c>
      <c r="D30" s="111" t="s">
        <v>309</v>
      </c>
      <c r="E30" s="111" t="s">
        <v>1681</v>
      </c>
      <c r="F30" s="111" t="s">
        <v>1217</v>
      </c>
      <c r="G30" s="19" t="str">
        <f>IF(COUNTIF(bystudent!B:B, C30) &gt; 0, "yes", "no")</f>
        <v>yes</v>
      </c>
    </row>
    <row r="31" ht="18.75" customHeight="1">
      <c r="A31" s="111" t="s">
        <v>1590</v>
      </c>
      <c r="B31" s="111" t="s">
        <v>1591</v>
      </c>
      <c r="C31" s="111" t="s">
        <v>1683</v>
      </c>
      <c r="D31" s="111" t="s">
        <v>615</v>
      </c>
      <c r="E31" s="111" t="s">
        <v>1684</v>
      </c>
      <c r="F31" s="111" t="s">
        <v>617</v>
      </c>
      <c r="G31" s="19" t="str">
        <f>IF(COUNTIF(bystudent!B:B, C31) &gt; 0, "yes", "no")</f>
        <v>yes</v>
      </c>
    </row>
    <row r="32" ht="18.75" customHeight="1">
      <c r="A32" s="111" t="s">
        <v>1590</v>
      </c>
      <c r="B32" s="111" t="s">
        <v>1591</v>
      </c>
      <c r="C32" s="111" t="s">
        <v>1685</v>
      </c>
      <c r="D32" s="111" t="s">
        <v>157</v>
      </c>
      <c r="E32" s="111" t="s">
        <v>1686</v>
      </c>
      <c r="F32" s="111" t="s">
        <v>750</v>
      </c>
      <c r="G32" s="19" t="str">
        <f>IF(COUNTIF(bystudent!B:B, C32) &gt; 0, "yes", "no")</f>
        <v>yes</v>
      </c>
    </row>
    <row r="33" ht="18.75" customHeight="1">
      <c r="A33" s="111" t="s">
        <v>1590</v>
      </c>
      <c r="B33" s="111" t="s">
        <v>1591</v>
      </c>
      <c r="C33" s="111" t="s">
        <v>1688</v>
      </c>
      <c r="D33" s="111" t="s">
        <v>639</v>
      </c>
      <c r="E33" s="111" t="s">
        <v>1689</v>
      </c>
      <c r="F33" s="111" t="s">
        <v>641</v>
      </c>
      <c r="G33" s="19" t="str">
        <f>IF(COUNTIF(bystudent!B:B, C33) &gt; 0, "yes", "no")</f>
        <v>yes</v>
      </c>
    </row>
    <row r="34" ht="18.75" customHeight="1">
      <c r="A34" s="111" t="s">
        <v>1590</v>
      </c>
      <c r="B34" s="111" t="s">
        <v>1591</v>
      </c>
      <c r="C34" s="111" t="s">
        <v>1690</v>
      </c>
      <c r="D34" s="111" t="s">
        <v>664</v>
      </c>
      <c r="E34" s="111" t="s">
        <v>1691</v>
      </c>
      <c r="F34" s="111" t="s">
        <v>666</v>
      </c>
      <c r="G34" s="19" t="str">
        <f>IF(COUNTIF(bystudent!B:B, C34) &gt; 0, "yes", "no")</f>
        <v>yes</v>
      </c>
    </row>
    <row r="35" ht="18.75" customHeight="1">
      <c r="A35" s="111" t="s">
        <v>1590</v>
      </c>
      <c r="B35" s="111" t="s">
        <v>1591</v>
      </c>
      <c r="C35" s="111" t="s">
        <v>1692</v>
      </c>
      <c r="D35" s="111" t="s">
        <v>1143</v>
      </c>
      <c r="E35" s="111" t="s">
        <v>1693</v>
      </c>
      <c r="F35" s="111" t="s">
        <v>1142</v>
      </c>
      <c r="G35" s="19" t="str">
        <f>IF(COUNTIF(bystudent!B:B, C35) &gt; 0, "yes", "no")</f>
        <v>yes</v>
      </c>
    </row>
    <row r="36" ht="18.75" customHeight="1">
      <c r="A36" s="111" t="s">
        <v>1590</v>
      </c>
      <c r="B36" s="111" t="s">
        <v>1591</v>
      </c>
      <c r="C36" s="111" t="s">
        <v>1695</v>
      </c>
      <c r="D36" s="111" t="s">
        <v>358</v>
      </c>
      <c r="E36" s="111" t="s">
        <v>1696</v>
      </c>
      <c r="F36" s="111" t="s">
        <v>683</v>
      </c>
      <c r="G36" s="19" t="str">
        <f>IF(COUNTIF(bystudent!B:B, C36) &gt; 0, "yes", "no")</f>
        <v>yes</v>
      </c>
    </row>
    <row r="37" ht="18.75" customHeight="1">
      <c r="A37" s="111" t="s">
        <v>1590</v>
      </c>
      <c r="B37" s="111" t="s">
        <v>1591</v>
      </c>
      <c r="C37" s="111" t="s">
        <v>1697</v>
      </c>
      <c r="D37" s="111" t="s">
        <v>125</v>
      </c>
      <c r="E37" s="111" t="s">
        <v>1698</v>
      </c>
      <c r="F37" s="111" t="s">
        <v>717</v>
      </c>
      <c r="G37" s="19" t="str">
        <f>IF(COUNTIF(bystudent!B:B, C37) &gt; 0, "yes", "no")</f>
        <v>yes</v>
      </c>
    </row>
    <row r="38" ht="18.75" customHeight="1">
      <c r="A38" s="111" t="s">
        <v>1590</v>
      </c>
      <c r="B38" s="111" t="s">
        <v>1591</v>
      </c>
      <c r="C38" s="111" t="s">
        <v>1700</v>
      </c>
      <c r="D38" s="111" t="s">
        <v>1177</v>
      </c>
      <c r="E38" s="111" t="s">
        <v>1701</v>
      </c>
      <c r="F38" s="111" t="s">
        <v>1179</v>
      </c>
      <c r="G38" s="19" t="str">
        <f>IF(COUNTIF(bystudent!B:B, C38) &gt; 0, "yes", "no")</f>
        <v>yes</v>
      </c>
    </row>
    <row r="39" ht="18.75" customHeight="1">
      <c r="A39" s="111" t="s">
        <v>1590</v>
      </c>
      <c r="B39" s="111" t="s">
        <v>1591</v>
      </c>
      <c r="C39" s="111" t="s">
        <v>1702</v>
      </c>
      <c r="D39" s="111" t="s">
        <v>372</v>
      </c>
      <c r="E39" s="111" t="s">
        <v>1703</v>
      </c>
      <c r="F39" s="111" t="s">
        <v>1013</v>
      </c>
      <c r="G39" s="19" t="str">
        <f>IF(COUNTIF(bystudent!B:B, C39) &gt; 0, "yes", "no")</f>
        <v>yes</v>
      </c>
    </row>
    <row r="40" ht="18.75" customHeight="1">
      <c r="A40" s="111" t="s">
        <v>1590</v>
      </c>
      <c r="B40" s="111" t="s">
        <v>1591</v>
      </c>
      <c r="C40" s="111" t="s">
        <v>1705</v>
      </c>
      <c r="D40" s="111" t="s">
        <v>1164</v>
      </c>
      <c r="E40" s="111" t="s">
        <v>1706</v>
      </c>
      <c r="F40" s="111" t="s">
        <v>1170</v>
      </c>
      <c r="G40" s="19" t="str">
        <f>IF(COUNTIF(bystudent!B:B, C40) &gt; 0, "yes", "no")</f>
        <v>yes</v>
      </c>
    </row>
    <row r="41" ht="18.75" customHeight="1">
      <c r="A41" s="111" t="s">
        <v>1590</v>
      </c>
      <c r="B41" s="111" t="s">
        <v>1591</v>
      </c>
      <c r="C41" s="111" t="s">
        <v>1707</v>
      </c>
      <c r="D41" s="111" t="s">
        <v>342</v>
      </c>
      <c r="E41" s="111" t="s">
        <v>1708</v>
      </c>
      <c r="F41" s="111" t="s">
        <v>1310</v>
      </c>
      <c r="G41" s="19" t="str">
        <f>IF(COUNTIF(bystudent!B:B, C41) &gt; 0, "yes", "no")</f>
        <v>yes</v>
      </c>
    </row>
    <row r="42" ht="18.75" customHeight="1">
      <c r="A42" s="111" t="s">
        <v>1590</v>
      </c>
      <c r="B42" s="111" t="s">
        <v>1591</v>
      </c>
      <c r="C42" s="111" t="s">
        <v>1709</v>
      </c>
      <c r="D42" s="111" t="s">
        <v>390</v>
      </c>
      <c r="E42" s="111" t="s">
        <v>1710</v>
      </c>
      <c r="F42" s="111" t="s">
        <v>1518</v>
      </c>
      <c r="G42" s="19" t="str">
        <f>IF(COUNTIF(bystudent!B:B, C42) &gt; 0, "yes", "no")</f>
        <v>yes</v>
      </c>
    </row>
    <row r="43" ht="18.75" customHeight="1">
      <c r="A43" s="111" t="s">
        <v>1590</v>
      </c>
      <c r="B43" s="111" t="s">
        <v>1591</v>
      </c>
      <c r="C43" s="111" t="s">
        <v>1712</v>
      </c>
      <c r="D43" s="111" t="s">
        <v>649</v>
      </c>
      <c r="E43" s="111" t="s">
        <v>1713</v>
      </c>
      <c r="F43" s="111" t="s">
        <v>651</v>
      </c>
      <c r="G43" s="19" t="str">
        <f>IF(COUNTIF(bystudent!B:B, C43) &gt; 0, "yes", "no")</f>
        <v>yes</v>
      </c>
    </row>
    <row r="44" ht="18.75" customHeight="1">
      <c r="A44" s="111" t="s">
        <v>1590</v>
      </c>
      <c r="B44" s="111" t="s">
        <v>1591</v>
      </c>
      <c r="C44" s="111" t="s">
        <v>1714</v>
      </c>
      <c r="D44" s="111" t="s">
        <v>1511</v>
      </c>
      <c r="E44" s="111" t="s">
        <v>1715</v>
      </c>
      <c r="F44" s="111" t="s">
        <v>1513</v>
      </c>
      <c r="G44" s="19" t="str">
        <f>IF(COUNTIF(bystudent!B:B, C44) &gt; 0, "yes", "no")</f>
        <v>yes</v>
      </c>
    </row>
    <row r="45" ht="18.75" customHeight="1">
      <c r="A45" s="111" t="s">
        <v>1590</v>
      </c>
      <c r="B45" s="111" t="s">
        <v>1591</v>
      </c>
      <c r="C45" s="111" t="s">
        <v>1716</v>
      </c>
      <c r="D45" s="111" t="s">
        <v>1316</v>
      </c>
      <c r="E45" s="111" t="s">
        <v>1717</v>
      </c>
      <c r="F45" s="111" t="s">
        <v>1315</v>
      </c>
      <c r="G45" s="19" t="str">
        <f>IF(COUNTIF(bystudent!B:B, C45) &gt; 0, "yes", "no")</f>
        <v>yes</v>
      </c>
    </row>
    <row r="46" ht="18.75" customHeight="1">
      <c r="A46" s="111" t="s">
        <v>1590</v>
      </c>
      <c r="B46" s="111" t="s">
        <v>1591</v>
      </c>
      <c r="C46" s="111" t="s">
        <v>1719</v>
      </c>
      <c r="D46" s="111" t="s">
        <v>158</v>
      </c>
      <c r="E46" s="111" t="s">
        <v>1720</v>
      </c>
      <c r="F46" s="111" t="s">
        <v>1388</v>
      </c>
      <c r="G46" s="19" t="str">
        <f>IF(COUNTIF(bystudent!B:B, C46) &gt; 0, "yes", "no")</f>
        <v>yes</v>
      </c>
    </row>
    <row r="47" ht="18.75" customHeight="1">
      <c r="A47" s="111" t="s">
        <v>1590</v>
      </c>
      <c r="B47" s="111" t="s">
        <v>1591</v>
      </c>
      <c r="C47" s="111" t="s">
        <v>1721</v>
      </c>
      <c r="D47" s="111" t="s">
        <v>778</v>
      </c>
      <c r="E47" s="111" t="s">
        <v>1722</v>
      </c>
      <c r="F47" s="111" t="s">
        <v>786</v>
      </c>
      <c r="G47" s="19" t="str">
        <f>IF(COUNTIF(bystudent!B:B, C47) &gt; 0, "yes", "no")</f>
        <v>yes</v>
      </c>
    </row>
    <row r="48" ht="18.75" customHeight="1">
      <c r="A48" s="111" t="s">
        <v>1590</v>
      </c>
      <c r="B48" s="111" t="s">
        <v>1591</v>
      </c>
      <c r="C48" s="111" t="s">
        <v>1723</v>
      </c>
      <c r="D48" s="111" t="s">
        <v>262</v>
      </c>
      <c r="E48" s="111" t="s">
        <v>1725</v>
      </c>
      <c r="F48" s="111" t="s">
        <v>696</v>
      </c>
      <c r="G48" s="19" t="str">
        <f>IF(COUNTIF(bystudent!B:B, C48) &gt; 0, "yes", "no")</f>
        <v>yes</v>
      </c>
    </row>
    <row r="49" ht="18.75" customHeight="1">
      <c r="A49" s="111" t="s">
        <v>1590</v>
      </c>
      <c r="B49" s="111" t="s">
        <v>1591</v>
      </c>
      <c r="C49" s="111" t="s">
        <v>1726</v>
      </c>
      <c r="D49" s="111" t="s">
        <v>254</v>
      </c>
      <c r="E49" s="111" t="s">
        <v>1727</v>
      </c>
      <c r="F49" s="111" t="s">
        <v>760</v>
      </c>
      <c r="G49" s="19" t="str">
        <f>IF(COUNTIF(bystudent!B:B, C49) &gt; 0, "yes", "no")</f>
        <v>yes</v>
      </c>
    </row>
    <row r="50" ht="18.75" customHeight="1">
      <c r="A50" s="111" t="s">
        <v>1590</v>
      </c>
      <c r="B50" s="111" t="s">
        <v>1591</v>
      </c>
      <c r="C50" s="111" t="s">
        <v>1729</v>
      </c>
      <c r="D50" s="111" t="s">
        <v>263</v>
      </c>
      <c r="E50" s="111" t="s">
        <v>1730</v>
      </c>
      <c r="F50" s="111" t="s">
        <v>1265</v>
      </c>
      <c r="G50" s="19" t="str">
        <f>IF(COUNTIF(bystudent!B:B, C50) &gt; 0, "yes", "no")</f>
        <v>yes</v>
      </c>
    </row>
    <row r="51" ht="18.75" customHeight="1">
      <c r="A51" s="111" t="s">
        <v>1590</v>
      </c>
      <c r="B51" s="111" t="s">
        <v>1591</v>
      </c>
      <c r="C51" s="111" t="s">
        <v>1731</v>
      </c>
      <c r="D51" s="111" t="s">
        <v>103</v>
      </c>
      <c r="E51" s="111" t="s">
        <v>1732</v>
      </c>
      <c r="F51" s="111" t="s">
        <v>1314</v>
      </c>
      <c r="G51" s="19" t="str">
        <f>IF(COUNTIF(bystudent!B:B, C51) &gt; 0, "yes", "no")</f>
        <v>yes</v>
      </c>
    </row>
    <row r="52" ht="18.75" customHeight="1">
      <c r="A52" s="111" t="s">
        <v>1590</v>
      </c>
      <c r="B52" s="111" t="s">
        <v>1591</v>
      </c>
      <c r="C52" s="111" t="s">
        <v>1733</v>
      </c>
      <c r="D52" s="111" t="s">
        <v>1519</v>
      </c>
      <c r="E52" s="111" t="s">
        <v>1735</v>
      </c>
      <c r="F52" s="111" t="s">
        <v>1523</v>
      </c>
      <c r="G52" s="19" t="str">
        <f>IF(COUNTIF(bystudent!B:B, C52) &gt; 0, "yes", "no")</f>
        <v>yes</v>
      </c>
    </row>
    <row r="53" ht="18.75" customHeight="1">
      <c r="A53" s="111" t="s">
        <v>1590</v>
      </c>
      <c r="B53" s="111" t="s">
        <v>1591</v>
      </c>
      <c r="C53" s="111" t="s">
        <v>1736</v>
      </c>
      <c r="D53" s="111" t="s">
        <v>568</v>
      </c>
      <c r="E53" s="111" t="s">
        <v>1737</v>
      </c>
      <c r="F53" s="111" t="s">
        <v>570</v>
      </c>
      <c r="G53" s="19" t="str">
        <f>IF(COUNTIF(bystudent!B:B, C53) &gt; 0, "yes", "no")</f>
        <v>yes</v>
      </c>
    </row>
    <row r="54" ht="18.75" customHeight="1">
      <c r="A54" s="111" t="s">
        <v>1590</v>
      </c>
      <c r="B54" s="111" t="s">
        <v>1591</v>
      </c>
      <c r="C54" s="111" t="s">
        <v>1738</v>
      </c>
      <c r="D54" s="111" t="s">
        <v>1739</v>
      </c>
      <c r="E54" s="111" t="s">
        <v>1740</v>
      </c>
      <c r="F54" s="111" t="s">
        <v>675</v>
      </c>
      <c r="G54" s="19" t="str">
        <f>IF(COUNTIF(bystudent!B:B, C54) &gt; 0, "yes", "no")</f>
        <v>yes</v>
      </c>
    </row>
    <row r="55" ht="18.75" customHeight="1">
      <c r="A55" s="111" t="s">
        <v>1590</v>
      </c>
      <c r="B55" s="111" t="s">
        <v>1591</v>
      </c>
      <c r="C55" s="111" t="s">
        <v>1742</v>
      </c>
      <c r="D55" s="111" t="s">
        <v>920</v>
      </c>
      <c r="E55" s="111" t="s">
        <v>1743</v>
      </c>
      <c r="F55" s="111" t="s">
        <v>928</v>
      </c>
      <c r="G55" s="19" t="str">
        <f>IF(COUNTIF(bystudent!B:B, C55) &gt; 0, "yes", "no")</f>
        <v>yes</v>
      </c>
    </row>
    <row r="56" ht="18.75" customHeight="1">
      <c r="A56" s="111" t="s">
        <v>1590</v>
      </c>
      <c r="B56" s="111" t="s">
        <v>1591</v>
      </c>
      <c r="C56" s="111" t="s">
        <v>1745</v>
      </c>
      <c r="D56" s="111" t="s">
        <v>1302</v>
      </c>
      <c r="E56" s="111" t="s">
        <v>1746</v>
      </c>
      <c r="F56" s="111" t="s">
        <v>1304</v>
      </c>
      <c r="G56" s="19" t="str">
        <f>IF(COUNTIF(bystudent!B:B, C56) &gt; 0, "yes", "no")</f>
        <v>yes</v>
      </c>
    </row>
    <row r="57" ht="18.75" customHeight="1">
      <c r="A57" s="111" t="s">
        <v>1590</v>
      </c>
      <c r="B57" s="111" t="s">
        <v>1591</v>
      </c>
      <c r="C57" s="111" t="s">
        <v>1747</v>
      </c>
      <c r="D57" s="111" t="s">
        <v>581</v>
      </c>
      <c r="E57" s="111" t="s">
        <v>1748</v>
      </c>
      <c r="F57" s="111" t="s">
        <v>583</v>
      </c>
      <c r="G57" s="19" t="str">
        <f>IF(COUNTIF(bystudent!B:B, C57) &gt; 0, "yes", "no")</f>
        <v>yes</v>
      </c>
    </row>
    <row r="58" ht="18.75" customHeight="1">
      <c r="A58" s="111" t="s">
        <v>1590</v>
      </c>
      <c r="B58" s="111" t="s">
        <v>1591</v>
      </c>
      <c r="C58" s="111" t="s">
        <v>1749</v>
      </c>
      <c r="D58" s="111" t="s">
        <v>116</v>
      </c>
      <c r="E58" s="111" t="s">
        <v>1750</v>
      </c>
      <c r="F58" s="111" t="s">
        <v>684</v>
      </c>
      <c r="G58" s="19" t="str">
        <f>IF(COUNTIF(bystudent!B:B, C58) &gt; 0, "yes", "no")</f>
        <v>yes</v>
      </c>
    </row>
    <row r="59" ht="18.75" customHeight="1">
      <c r="A59" s="111" t="s">
        <v>1590</v>
      </c>
      <c r="B59" s="111" t="s">
        <v>1591</v>
      </c>
      <c r="C59" s="111" t="s">
        <v>1752</v>
      </c>
      <c r="D59" s="111" t="s">
        <v>252</v>
      </c>
      <c r="E59" s="111" t="s">
        <v>1753</v>
      </c>
      <c r="F59" s="111" t="s">
        <v>701</v>
      </c>
      <c r="G59" s="19" t="str">
        <f>IF(COUNTIF(bystudent!B:B, C59) &gt; 0, "yes", "no")</f>
        <v>yes</v>
      </c>
    </row>
    <row r="60" ht="18.75" customHeight="1">
      <c r="A60" s="111" t="s">
        <v>1590</v>
      </c>
      <c r="B60" s="111" t="s">
        <v>1591</v>
      </c>
      <c r="C60" s="111" t="s">
        <v>1754</v>
      </c>
      <c r="D60" s="111" t="s">
        <v>343</v>
      </c>
      <c r="E60" s="111" t="s">
        <v>1755</v>
      </c>
      <c r="F60" s="111" t="s">
        <v>475</v>
      </c>
      <c r="G60" s="19" t="str">
        <f>IF(COUNTIF(bystudent!B:B, C60) &gt; 0, "yes", "no")</f>
        <v>yes</v>
      </c>
    </row>
    <row r="61" ht="18.75" customHeight="1">
      <c r="A61" s="111" t="s">
        <v>1590</v>
      </c>
      <c r="B61" s="111" t="s">
        <v>1591</v>
      </c>
      <c r="C61" s="111" t="s">
        <v>1758</v>
      </c>
      <c r="D61" s="111" t="s">
        <v>1296</v>
      </c>
      <c r="E61" s="111" t="s">
        <v>1759</v>
      </c>
      <c r="F61" s="111" t="s">
        <v>1295</v>
      </c>
      <c r="G61" s="19" t="str">
        <f>IF(COUNTIF(bystudent!B:B, C61) &gt; 0, "yes", "no")</f>
        <v>yes</v>
      </c>
    </row>
    <row r="62" ht="18.75" customHeight="1">
      <c r="A62" s="111" t="s">
        <v>1590</v>
      </c>
      <c r="B62" s="111" t="s">
        <v>1591</v>
      </c>
      <c r="C62" s="111" t="s">
        <v>1760</v>
      </c>
      <c r="D62" s="111" t="s">
        <v>503</v>
      </c>
      <c r="E62" s="111" t="s">
        <v>1761</v>
      </c>
      <c r="F62" s="111" t="s">
        <v>502</v>
      </c>
      <c r="G62" s="19" t="str">
        <f>IF(COUNTIF(bystudent!B:B, C62) &gt; 0, "yes", "no")</f>
        <v>yes</v>
      </c>
    </row>
    <row r="63" ht="18.75" customHeight="1">
      <c r="A63" s="111" t="s">
        <v>1590</v>
      </c>
      <c r="B63" s="111" t="s">
        <v>1591</v>
      </c>
      <c r="C63" s="111" t="s">
        <v>1763</v>
      </c>
      <c r="D63" s="111" t="s">
        <v>1764</v>
      </c>
      <c r="E63" s="111" t="s">
        <v>1765</v>
      </c>
      <c r="F63" s="111" t="s">
        <v>1540</v>
      </c>
      <c r="G63" s="19" t="str">
        <f>IF(COUNTIF(bystudent!B:B, C63) &gt; 0, "yes", "no")</f>
        <v>yes</v>
      </c>
    </row>
    <row r="64" ht="18.75" customHeight="1">
      <c r="A64" s="111" t="s">
        <v>1590</v>
      </c>
      <c r="B64" s="111" t="s">
        <v>1591</v>
      </c>
      <c r="C64" s="111" t="s">
        <v>1766</v>
      </c>
      <c r="D64" s="111" t="s">
        <v>375</v>
      </c>
      <c r="E64" s="111" t="s">
        <v>1767</v>
      </c>
      <c r="F64" s="111" t="s">
        <v>1040</v>
      </c>
      <c r="G64" s="19" t="str">
        <f>IF(COUNTIF(bystudent!B:B, C64) &gt; 0, "yes", "no")</f>
        <v>yes</v>
      </c>
    </row>
    <row r="65" ht="18.75" customHeight="1">
      <c r="A65" s="111" t="s">
        <v>1590</v>
      </c>
      <c r="B65" s="111" t="s">
        <v>1591</v>
      </c>
      <c r="C65" s="111" t="s">
        <v>1768</v>
      </c>
      <c r="D65" s="111" t="s">
        <v>1418</v>
      </c>
      <c r="E65" s="111" t="s">
        <v>1769</v>
      </c>
      <c r="F65" s="111" t="s">
        <v>1417</v>
      </c>
      <c r="G65" s="19" t="str">
        <f>IF(COUNTIF(bystudent!B:B, C65) &gt; 0, "yes", "no")</f>
        <v>yes</v>
      </c>
    </row>
    <row r="66" ht="18.75" customHeight="1">
      <c r="A66" s="111" t="s">
        <v>1590</v>
      </c>
      <c r="B66" s="111" t="s">
        <v>1591</v>
      </c>
      <c r="C66" s="111" t="s">
        <v>1771</v>
      </c>
      <c r="D66" s="111" t="s">
        <v>981</v>
      </c>
      <c r="E66" s="111" t="s">
        <v>1772</v>
      </c>
      <c r="F66" s="111" t="s">
        <v>986</v>
      </c>
      <c r="G66" s="19" t="str">
        <f>IF(COUNTIF(bystudent!B:B, C66) &gt; 0, "yes", "no")</f>
        <v>yes</v>
      </c>
    </row>
    <row r="67" ht="18.75" customHeight="1">
      <c r="A67" s="111" t="s">
        <v>1590</v>
      </c>
      <c r="B67" s="111" t="s">
        <v>1591</v>
      </c>
      <c r="C67" s="111" t="s">
        <v>1773</v>
      </c>
      <c r="D67" s="111" t="s">
        <v>313</v>
      </c>
      <c r="E67" s="111" t="s">
        <v>1774</v>
      </c>
      <c r="F67" s="111" t="s">
        <v>1466</v>
      </c>
      <c r="G67" s="19" t="str">
        <f>IF(COUNTIF(bystudent!B:B, C67) &gt; 0, "yes", "no")</f>
        <v>yes</v>
      </c>
    </row>
    <row r="68" ht="18.75" customHeight="1">
      <c r="A68" s="111" t="s">
        <v>1590</v>
      </c>
      <c r="B68" s="111" t="s">
        <v>1591</v>
      </c>
      <c r="C68" s="111" t="s">
        <v>1776</v>
      </c>
      <c r="D68" s="111" t="s">
        <v>1448</v>
      </c>
      <c r="E68" s="111" t="s">
        <v>1777</v>
      </c>
      <c r="F68" s="111" t="s">
        <v>1450</v>
      </c>
      <c r="G68" s="19" t="str">
        <f>IF(COUNTIF(bystudent!B:B, C68) &gt; 0, "yes", "no")</f>
        <v>yes</v>
      </c>
    </row>
    <row r="69" ht="18.75" customHeight="1">
      <c r="A69" s="111" t="s">
        <v>1590</v>
      </c>
      <c r="B69" s="111" t="s">
        <v>1591</v>
      </c>
      <c r="C69" s="111" t="s">
        <v>1778</v>
      </c>
      <c r="D69" s="111" t="s">
        <v>176</v>
      </c>
      <c r="E69" s="111" t="s">
        <v>1779</v>
      </c>
      <c r="F69" s="111" t="s">
        <v>871</v>
      </c>
      <c r="G69" s="19" t="str">
        <f>IF(COUNTIF(bystudent!B:B, C69) &gt; 0, "yes", "no")</f>
        <v>yes</v>
      </c>
    </row>
    <row r="70" ht="18.75" customHeight="1">
      <c r="A70" s="111" t="s">
        <v>1590</v>
      </c>
      <c r="B70" s="111" t="s">
        <v>1591</v>
      </c>
      <c r="C70" s="111" t="s">
        <v>1781</v>
      </c>
      <c r="D70" s="111" t="s">
        <v>1154</v>
      </c>
      <c r="E70" s="111" t="s">
        <v>1782</v>
      </c>
      <c r="F70" s="111" t="s">
        <v>1153</v>
      </c>
      <c r="G70" s="19" t="str">
        <f>IF(COUNTIF(bystudent!B:B, C70) &gt; 0, "yes", "no")</f>
        <v>yes</v>
      </c>
    </row>
    <row r="71" ht="18.75" customHeight="1">
      <c r="A71" s="111" t="s">
        <v>1590</v>
      </c>
      <c r="B71" s="111" t="s">
        <v>1591</v>
      </c>
      <c r="C71" s="111" t="s">
        <v>1784</v>
      </c>
      <c r="D71" s="111" t="s">
        <v>1399</v>
      </c>
      <c r="E71" s="111" t="s">
        <v>1785</v>
      </c>
      <c r="F71" s="111" t="s">
        <v>1398</v>
      </c>
      <c r="G71" s="19" t="str">
        <f>IF(COUNTIF(bystudent!B:B, C71) &gt; 0, "yes", "no")</f>
        <v>yes</v>
      </c>
    </row>
    <row r="72" ht="18.75" customHeight="1">
      <c r="A72" s="111" t="s">
        <v>1590</v>
      </c>
      <c r="B72" s="111" t="s">
        <v>1591</v>
      </c>
      <c r="C72" s="111" t="s">
        <v>1786</v>
      </c>
      <c r="D72" s="111" t="s">
        <v>620</v>
      </c>
      <c r="E72" s="111" t="s">
        <v>1787</v>
      </c>
      <c r="F72" s="111" t="s">
        <v>1788</v>
      </c>
      <c r="G72" s="19" t="str">
        <f>IF(COUNTIF(bystudent!B:B, C72) &gt; 0, "yes", "no")</f>
        <v>yes</v>
      </c>
    </row>
    <row r="73" ht="18.75" customHeight="1">
      <c r="A73" s="111" t="s">
        <v>1590</v>
      </c>
      <c r="B73" s="111" t="s">
        <v>1591</v>
      </c>
      <c r="C73" s="111" t="s">
        <v>1789</v>
      </c>
      <c r="D73" s="111" t="s">
        <v>329</v>
      </c>
      <c r="E73" s="111" t="s">
        <v>1791</v>
      </c>
      <c r="F73" s="111" t="s">
        <v>1487</v>
      </c>
      <c r="G73" s="19" t="str">
        <f>IF(COUNTIF(bystudent!B:B, C73) &gt; 0, "yes", "no")</f>
        <v>yes</v>
      </c>
    </row>
    <row r="74" ht="18.75" customHeight="1">
      <c r="A74" s="111" t="s">
        <v>1590</v>
      </c>
      <c r="B74" s="111" t="s">
        <v>1591</v>
      </c>
      <c r="C74" s="111" t="s">
        <v>1792</v>
      </c>
      <c r="D74" s="111" t="s">
        <v>1131</v>
      </c>
      <c r="E74" s="111" t="s">
        <v>1793</v>
      </c>
      <c r="F74" s="111" t="s">
        <v>1130</v>
      </c>
      <c r="G74" s="19" t="str">
        <f>IF(COUNTIF(bystudent!B:B, C74) &gt; 0, "yes", "no")</f>
        <v>yes</v>
      </c>
    </row>
    <row r="75" ht="18.75" customHeight="1">
      <c r="A75" s="111" t="s">
        <v>1590</v>
      </c>
      <c r="B75" s="111" t="s">
        <v>1591</v>
      </c>
      <c r="C75" s="111" t="s">
        <v>1794</v>
      </c>
      <c r="D75" s="111" t="s">
        <v>199</v>
      </c>
      <c r="E75" s="111" t="s">
        <v>1795</v>
      </c>
      <c r="F75" s="111" t="s">
        <v>576</v>
      </c>
      <c r="G75" s="19" t="str">
        <f>IF(COUNTIF(bystudent!B:B, C75) &gt; 0, "yes", "no")</f>
        <v>yes</v>
      </c>
    </row>
    <row r="76" ht="18.75" customHeight="1">
      <c r="A76" s="111" t="s">
        <v>1590</v>
      </c>
      <c r="B76" s="111" t="s">
        <v>1591</v>
      </c>
      <c r="C76" s="111" t="s">
        <v>1797</v>
      </c>
      <c r="D76" s="111" t="s">
        <v>117</v>
      </c>
      <c r="E76" s="111" t="s">
        <v>1798</v>
      </c>
      <c r="F76" s="111" t="s">
        <v>539</v>
      </c>
      <c r="G76" s="19" t="str">
        <f>IF(COUNTIF(bystudent!B:B, C76) &gt; 0, "yes", "no")</f>
        <v>yes</v>
      </c>
    </row>
    <row r="77" ht="18.75" customHeight="1">
      <c r="A77" s="111" t="s">
        <v>1590</v>
      </c>
      <c r="B77" s="111" t="s">
        <v>1591</v>
      </c>
      <c r="C77" s="111" t="s">
        <v>2031</v>
      </c>
      <c r="D77" s="111" t="s">
        <v>177</v>
      </c>
      <c r="E77" s="111" t="s">
        <v>2033</v>
      </c>
      <c r="F77" s="111" t="s">
        <v>474</v>
      </c>
      <c r="G77" s="19" t="str">
        <f>IF(COUNTIF(bystudent!B:B, C77) &gt; 0, "yes", "no")</f>
        <v>yes</v>
      </c>
    </row>
    <row r="78" ht="18.75" customHeight="1">
      <c r="A78" s="111" t="s">
        <v>1590</v>
      </c>
      <c r="B78" s="111" t="s">
        <v>1591</v>
      </c>
      <c r="C78" s="111" t="s">
        <v>1799</v>
      </c>
      <c r="D78" s="111" t="s">
        <v>180</v>
      </c>
      <c r="E78" s="111" t="s">
        <v>1800</v>
      </c>
      <c r="F78" s="111" t="s">
        <v>178</v>
      </c>
      <c r="G78" s="19" t="str">
        <f>IF(COUNTIF(bystudent!B:B, C78) &gt; 0, "yes", "no")</f>
        <v>yes</v>
      </c>
    </row>
    <row r="79" ht="18.75" customHeight="1">
      <c r="A79" s="111" t="s">
        <v>1590</v>
      </c>
      <c r="B79" s="111" t="s">
        <v>1591</v>
      </c>
      <c r="C79" s="111" t="s">
        <v>1801</v>
      </c>
      <c r="D79" s="111" t="s">
        <v>270</v>
      </c>
      <c r="E79" s="111" t="s">
        <v>1802</v>
      </c>
      <c r="F79" s="111" t="s">
        <v>1345</v>
      </c>
      <c r="G79" s="19" t="str">
        <f>IF(COUNTIF(bystudent!B:B, C79) &gt; 0, "yes", "no")</f>
        <v>yes</v>
      </c>
    </row>
    <row r="80" ht="18.75" customHeight="1">
      <c r="A80" s="111" t="s">
        <v>1590</v>
      </c>
      <c r="B80" s="111" t="s">
        <v>1591</v>
      </c>
      <c r="C80" s="111" t="s">
        <v>1804</v>
      </c>
      <c r="D80" s="111" t="s">
        <v>162</v>
      </c>
      <c r="E80" s="111" t="s">
        <v>1805</v>
      </c>
      <c r="F80" s="111" t="s">
        <v>941</v>
      </c>
      <c r="G80" s="19" t="str">
        <f>IF(COUNTIF(bystudent!B:B, C80) &gt; 0, "yes", "no")</f>
        <v>yes</v>
      </c>
    </row>
    <row r="81" ht="18.75" customHeight="1">
      <c r="A81" s="111" t="s">
        <v>1590</v>
      </c>
      <c r="B81" s="111" t="s">
        <v>1591</v>
      </c>
      <c r="C81" s="111" t="s">
        <v>1807</v>
      </c>
      <c r="D81" s="111" t="s">
        <v>156</v>
      </c>
      <c r="E81" s="111" t="s">
        <v>1808</v>
      </c>
      <c r="F81" s="111" t="s">
        <v>1005</v>
      </c>
      <c r="G81" s="19" t="str">
        <f>IF(COUNTIF(bystudent!B:B, C81) &gt; 0, "yes", "no")</f>
        <v>yes</v>
      </c>
    </row>
    <row r="82" ht="18.75" customHeight="1">
      <c r="A82" s="111" t="s">
        <v>1590</v>
      </c>
      <c r="B82" s="111" t="s">
        <v>1591</v>
      </c>
      <c r="C82" s="111" t="s">
        <v>1809</v>
      </c>
      <c r="D82" s="111" t="s">
        <v>404</v>
      </c>
      <c r="E82" s="111" t="s">
        <v>1810</v>
      </c>
      <c r="F82" s="111" t="s">
        <v>1555</v>
      </c>
      <c r="G82" s="19" t="str">
        <f>IF(COUNTIF(bystudent!B:B, C82) &gt; 0, "yes", "no")</f>
        <v>yes</v>
      </c>
    </row>
    <row r="83" ht="18.75" customHeight="1">
      <c r="A83" s="111" t="s">
        <v>1590</v>
      </c>
      <c r="B83" s="111" t="s">
        <v>1591</v>
      </c>
      <c r="C83" s="111" t="s">
        <v>1812</v>
      </c>
      <c r="D83" s="111" t="s">
        <v>26</v>
      </c>
      <c r="E83" s="111" t="s">
        <v>1813</v>
      </c>
      <c r="F83" s="111" t="s">
        <v>25</v>
      </c>
      <c r="G83" s="19" t="str">
        <f>IF(COUNTIF(bystudent!B:B, C83) &gt; 0, "yes", "no")</f>
        <v>yes</v>
      </c>
    </row>
    <row r="84" ht="18.75" customHeight="1">
      <c r="A84" s="111" t="s">
        <v>1590</v>
      </c>
      <c r="B84" s="111" t="s">
        <v>1591</v>
      </c>
      <c r="C84" s="111" t="s">
        <v>1814</v>
      </c>
      <c r="D84" s="111" t="s">
        <v>489</v>
      </c>
      <c r="E84" s="111" t="s">
        <v>1815</v>
      </c>
      <c r="F84" s="111" t="s">
        <v>495</v>
      </c>
      <c r="G84" s="19" t="str">
        <f>IF(COUNTIF(bystudent!B:B, C84) &gt; 0, "yes", "no")</f>
        <v>yes</v>
      </c>
    </row>
    <row r="85" ht="18.75" customHeight="1">
      <c r="A85" s="111" t="s">
        <v>1590</v>
      </c>
      <c r="B85" s="111" t="s">
        <v>1591</v>
      </c>
      <c r="C85" s="111" t="s">
        <v>1817</v>
      </c>
      <c r="D85" s="111" t="s">
        <v>190</v>
      </c>
      <c r="E85" s="111" t="s">
        <v>1818</v>
      </c>
      <c r="F85" s="111" t="s">
        <v>1360</v>
      </c>
      <c r="G85" s="19" t="str">
        <f>IF(COUNTIF(bystudent!B:B, C85) &gt; 0, "yes", "no")</f>
        <v>yes</v>
      </c>
    </row>
    <row r="86" ht="18.75" customHeight="1">
      <c r="A86" s="111" t="s">
        <v>1590</v>
      </c>
      <c r="B86" s="111" t="s">
        <v>1591</v>
      </c>
      <c r="C86" s="111" t="s">
        <v>1819</v>
      </c>
      <c r="D86" s="111" t="s">
        <v>1357</v>
      </c>
      <c r="E86" s="111" t="s">
        <v>1820</v>
      </c>
      <c r="F86" s="111" t="s">
        <v>1359</v>
      </c>
      <c r="G86" s="19" t="str">
        <f>IF(COUNTIF(bystudent!B:B, C86) &gt; 0, "yes", "no")</f>
        <v>yes</v>
      </c>
    </row>
    <row r="87" ht="18.75" customHeight="1">
      <c r="A87" s="111" t="s">
        <v>1590</v>
      </c>
      <c r="B87" s="111" t="s">
        <v>1591</v>
      </c>
      <c r="C87" s="111" t="s">
        <v>1822</v>
      </c>
      <c r="D87" s="111" t="s">
        <v>378</v>
      </c>
      <c r="E87" s="111" t="s">
        <v>1823</v>
      </c>
      <c r="F87" s="111" t="s">
        <v>1194</v>
      </c>
      <c r="G87" s="19" t="str">
        <f>IF(COUNTIF(bystudent!B:B, C87) &gt; 0, "yes", "no")</f>
        <v>yes</v>
      </c>
    </row>
    <row r="88" ht="18.75" customHeight="1">
      <c r="A88" s="111" t="s">
        <v>1590</v>
      </c>
      <c r="B88" s="111" t="s">
        <v>1591</v>
      </c>
      <c r="C88" s="111" t="s">
        <v>1824</v>
      </c>
      <c r="D88" s="111" t="s">
        <v>1502</v>
      </c>
      <c r="E88" s="111" t="s">
        <v>1826</v>
      </c>
      <c r="F88" s="111" t="s">
        <v>1504</v>
      </c>
      <c r="G88" s="19" t="str">
        <f>IF(COUNTIF(bystudent!B:B, C88) &gt; 0, "yes", "no")</f>
        <v>yes</v>
      </c>
    </row>
    <row r="89" ht="18.75" customHeight="1">
      <c r="A89" s="111" t="s">
        <v>1590</v>
      </c>
      <c r="B89" s="111" t="s">
        <v>1591</v>
      </c>
      <c r="C89" s="111" t="s">
        <v>1827</v>
      </c>
      <c r="D89" s="111" t="s">
        <v>1025</v>
      </c>
      <c r="E89" s="111" t="s">
        <v>1828</v>
      </c>
      <c r="F89" s="111" t="s">
        <v>1024</v>
      </c>
      <c r="G89" s="19" t="str">
        <f>IF(COUNTIF(bystudent!B:B, C89) &gt; 0, "yes", "no")</f>
        <v>yes</v>
      </c>
    </row>
    <row r="90" ht="18.75" customHeight="1">
      <c r="A90" s="111" t="s">
        <v>1590</v>
      </c>
      <c r="B90" s="111" t="s">
        <v>1591</v>
      </c>
      <c r="C90" s="111" t="s">
        <v>1830</v>
      </c>
      <c r="D90" s="111" t="s">
        <v>250</v>
      </c>
      <c r="E90" s="111" t="s">
        <v>1831</v>
      </c>
      <c r="F90" s="111" t="s">
        <v>811</v>
      </c>
      <c r="G90" s="19" t="str">
        <f>IF(COUNTIF(bystudent!B:B, C90) &gt; 0, "yes", "no")</f>
        <v>yes</v>
      </c>
    </row>
    <row r="91" ht="18.75" customHeight="1">
      <c r="A91" s="111" t="s">
        <v>1590</v>
      </c>
      <c r="B91" s="111" t="s">
        <v>1591</v>
      </c>
      <c r="C91" s="111" t="s">
        <v>1832</v>
      </c>
      <c r="D91" s="111" t="s">
        <v>283</v>
      </c>
      <c r="E91" s="111" t="s">
        <v>1833</v>
      </c>
      <c r="F91" s="111" t="s">
        <v>1129</v>
      </c>
      <c r="G91" s="19" t="str">
        <f>IF(COUNTIF(bystudent!B:B, C91) &gt; 0, "yes", "no")</f>
        <v>yes</v>
      </c>
    </row>
    <row r="92" ht="18.75" customHeight="1">
      <c r="A92" s="111" t="s">
        <v>1590</v>
      </c>
      <c r="B92" s="111" t="s">
        <v>1591</v>
      </c>
      <c r="C92" s="111" t="s">
        <v>1835</v>
      </c>
      <c r="D92" s="111" t="s">
        <v>692</v>
      </c>
      <c r="E92" s="111" t="s">
        <v>1836</v>
      </c>
      <c r="F92" s="111" t="s">
        <v>694</v>
      </c>
      <c r="G92" s="19" t="str">
        <f>IF(COUNTIF(bystudent!B:B, C92) &gt; 0, "yes", "no")</f>
        <v>yes</v>
      </c>
    </row>
    <row r="93" ht="18.75" customHeight="1">
      <c r="A93" s="111" t="s">
        <v>1590</v>
      </c>
      <c r="B93" s="111" t="s">
        <v>1591</v>
      </c>
      <c r="C93" s="111" t="s">
        <v>1838</v>
      </c>
      <c r="D93" s="111" t="s">
        <v>384</v>
      </c>
      <c r="E93" s="111" t="s">
        <v>1839</v>
      </c>
      <c r="F93" s="111" t="s">
        <v>1105</v>
      </c>
      <c r="G93" s="19" t="str">
        <f>IF(COUNTIF(bystudent!B:B, C93) &gt; 0, "yes", "no")</f>
        <v>yes</v>
      </c>
    </row>
    <row r="94" ht="18.75" customHeight="1">
      <c r="A94" s="111" t="s">
        <v>1590</v>
      </c>
      <c r="B94" s="111" t="s">
        <v>1591</v>
      </c>
      <c r="C94" s="111" t="s">
        <v>1841</v>
      </c>
      <c r="D94" s="111" t="s">
        <v>1335</v>
      </c>
      <c r="E94" s="111" t="s">
        <v>1842</v>
      </c>
      <c r="F94" s="111" t="s">
        <v>1339</v>
      </c>
      <c r="G94" s="19" t="str">
        <f>IF(COUNTIF(bystudent!B:B, C94) &gt; 0, "yes", "no")</f>
        <v>yes</v>
      </c>
    </row>
    <row r="95" ht="18.75" customHeight="1">
      <c r="A95" s="111" t="s">
        <v>1590</v>
      </c>
      <c r="B95" s="111" t="s">
        <v>1591</v>
      </c>
      <c r="C95" s="111" t="s">
        <v>2079</v>
      </c>
      <c r="D95" s="111" t="s">
        <v>468</v>
      </c>
      <c r="E95" s="111" t="s">
        <v>2080</v>
      </c>
      <c r="F95" s="111" t="s">
        <v>472</v>
      </c>
      <c r="G95" s="19" t="str">
        <f>IF(COUNTIF(bystudent!B:B, C95) &gt; 0, "yes", "no")</f>
        <v>yes</v>
      </c>
    </row>
    <row r="96" ht="18.75" customHeight="1">
      <c r="A96" s="111" t="s">
        <v>1590</v>
      </c>
      <c r="B96" s="111" t="s">
        <v>1591</v>
      </c>
      <c r="C96" s="111" t="s">
        <v>1844</v>
      </c>
      <c r="D96" s="111" t="s">
        <v>1261</v>
      </c>
      <c r="E96" s="111" t="s">
        <v>1845</v>
      </c>
      <c r="F96" s="111" t="s">
        <v>1264</v>
      </c>
      <c r="G96" s="19" t="str">
        <f>IF(COUNTIF(bystudent!B:B, C96) &gt; 0, "yes", "no")</f>
        <v>yes</v>
      </c>
    </row>
    <row r="97" ht="18.75" customHeight="1">
      <c r="A97" s="111" t="s">
        <v>1590</v>
      </c>
      <c r="B97" s="111" t="s">
        <v>1591</v>
      </c>
      <c r="C97" s="111" t="s">
        <v>1847</v>
      </c>
      <c r="D97" s="111" t="s">
        <v>1550</v>
      </c>
      <c r="E97" s="111" t="s">
        <v>1848</v>
      </c>
      <c r="F97" s="111" t="s">
        <v>1552</v>
      </c>
      <c r="G97" s="19" t="str">
        <f>IF(COUNTIF(bystudent!B:B, C97) &gt; 0, "yes", "no")</f>
        <v>yes</v>
      </c>
    </row>
    <row r="98" ht="18.75" customHeight="1">
      <c r="A98" s="111" t="s">
        <v>1590</v>
      </c>
      <c r="B98" s="111" t="s">
        <v>1591</v>
      </c>
      <c r="C98" s="111" t="s">
        <v>1854</v>
      </c>
      <c r="D98" s="111" t="s">
        <v>1443</v>
      </c>
      <c r="E98" s="111" t="s">
        <v>1855</v>
      </c>
      <c r="F98" s="111" t="s">
        <v>1442</v>
      </c>
      <c r="G98" s="19" t="str">
        <f>IF(COUNTIF(bystudent!B:B, C98) &gt; 0, "yes", "no")</f>
        <v>yes</v>
      </c>
    </row>
    <row r="99" ht="18.75" customHeight="1">
      <c r="A99" s="111" t="s">
        <v>1590</v>
      </c>
      <c r="B99" s="111" t="s">
        <v>1591</v>
      </c>
      <c r="C99" s="111" t="s">
        <v>1857</v>
      </c>
      <c r="D99" s="111" t="s">
        <v>509</v>
      </c>
      <c r="E99" s="111" t="s">
        <v>1858</v>
      </c>
      <c r="F99" s="111" t="s">
        <v>514</v>
      </c>
      <c r="G99" s="19" t="str">
        <f>IF(COUNTIF(bystudent!B:B, C99) &gt; 0, "yes", "no")</f>
        <v>yes</v>
      </c>
    </row>
    <row r="100" ht="18.75" customHeight="1">
      <c r="A100" s="111" t="s">
        <v>1590</v>
      </c>
      <c r="B100" s="111" t="s">
        <v>1591</v>
      </c>
      <c r="C100" s="111" t="s">
        <v>1859</v>
      </c>
      <c r="D100" s="111" t="s">
        <v>188</v>
      </c>
      <c r="E100" s="111" t="s">
        <v>1860</v>
      </c>
      <c r="F100" s="111" t="s">
        <v>746</v>
      </c>
      <c r="G100" s="19" t="str">
        <f>IF(COUNTIF(bystudent!B:B, C100) &gt; 0, "yes", "no")</f>
        <v>yes</v>
      </c>
    </row>
    <row r="101" ht="18.75" customHeight="1">
      <c r="A101" s="111" t="s">
        <v>1590</v>
      </c>
      <c r="B101" s="111" t="s">
        <v>1591</v>
      </c>
      <c r="C101" s="111" t="s">
        <v>1862</v>
      </c>
      <c r="D101" s="111" t="s">
        <v>1084</v>
      </c>
      <c r="E101" s="111" t="s">
        <v>1863</v>
      </c>
      <c r="F101" s="111" t="s">
        <v>1089</v>
      </c>
      <c r="G101" s="19" t="str">
        <f>IF(COUNTIF(bystudent!B:B, C101) &gt; 0, "yes", "no")</f>
        <v>yes</v>
      </c>
    </row>
    <row r="102" ht="18.75" customHeight="1">
      <c r="A102" s="111" t="s">
        <v>1590</v>
      </c>
      <c r="B102" s="111" t="s">
        <v>1591</v>
      </c>
      <c r="C102" s="111" t="s">
        <v>1864</v>
      </c>
      <c r="D102" s="111" t="s">
        <v>100</v>
      </c>
      <c r="E102" s="111" t="s">
        <v>1865</v>
      </c>
      <c r="F102" s="111" t="s">
        <v>1218</v>
      </c>
      <c r="G102" s="19" t="str">
        <f>IF(COUNTIF(bystudent!B:B, C102) &gt; 0, "yes", "no")</f>
        <v>yes</v>
      </c>
    </row>
    <row r="103" ht="18.75" customHeight="1">
      <c r="A103" s="111" t="s">
        <v>1590</v>
      </c>
      <c r="B103" s="111" t="s">
        <v>1591</v>
      </c>
      <c r="C103" s="111" t="s">
        <v>1869</v>
      </c>
      <c r="D103" s="111" t="s">
        <v>1491</v>
      </c>
      <c r="E103" s="111" t="s">
        <v>1870</v>
      </c>
      <c r="F103" s="111" t="s">
        <v>1493</v>
      </c>
      <c r="G103" s="19" t="str">
        <f>IF(COUNTIF(bystudent!B:B, C103) &gt; 0, "yes", "no")</f>
        <v>yes</v>
      </c>
    </row>
    <row r="104" ht="18.75" customHeight="1">
      <c r="A104" s="111" t="s">
        <v>1590</v>
      </c>
      <c r="B104" s="111" t="s">
        <v>1591</v>
      </c>
      <c r="C104" s="111" t="s">
        <v>1871</v>
      </c>
      <c r="D104" s="111" t="s">
        <v>725</v>
      </c>
      <c r="E104" s="111" t="s">
        <v>1872</v>
      </c>
      <c r="F104" s="111" t="s">
        <v>727</v>
      </c>
      <c r="G104" s="19" t="str">
        <f>IF(COUNTIF(bystudent!B:B, C104) &gt; 0, "yes", "no")</f>
        <v>yes</v>
      </c>
    </row>
    <row r="105" ht="18.75" customHeight="1">
      <c r="A105" s="111" t="s">
        <v>1590</v>
      </c>
      <c r="B105" s="111" t="s">
        <v>1591</v>
      </c>
      <c r="C105" s="111" t="s">
        <v>1873</v>
      </c>
      <c r="D105" s="111" t="s">
        <v>98</v>
      </c>
      <c r="E105" s="111" t="s">
        <v>1874</v>
      </c>
      <c r="F105" s="111" t="s">
        <v>1489</v>
      </c>
      <c r="G105" s="19" t="str">
        <f>IF(COUNTIF(bystudent!B:B, C105) &gt; 0, "yes", "no")</f>
        <v>yes</v>
      </c>
    </row>
    <row r="106" ht="18.75" customHeight="1">
      <c r="A106" s="111" t="s">
        <v>1590</v>
      </c>
      <c r="B106" s="111" t="s">
        <v>1591</v>
      </c>
      <c r="C106" s="111" t="s">
        <v>1875</v>
      </c>
      <c r="D106" s="111" t="s">
        <v>599</v>
      </c>
      <c r="E106" s="111" t="s">
        <v>1876</v>
      </c>
      <c r="F106" s="111" t="s">
        <v>603</v>
      </c>
      <c r="G106" s="19" t="str">
        <f>IF(COUNTIF(bystudent!B:B, C106) &gt; 0, "yes", "no")</f>
        <v>yes</v>
      </c>
    </row>
    <row r="107" ht="18.75" customHeight="1">
      <c r="A107" s="111" t="s">
        <v>1590</v>
      </c>
      <c r="B107" s="111" t="s">
        <v>1591</v>
      </c>
      <c r="C107" s="111" t="s">
        <v>1877</v>
      </c>
      <c r="D107" s="111" t="s">
        <v>317</v>
      </c>
      <c r="E107" s="111" t="s">
        <v>1878</v>
      </c>
      <c r="F107" s="111" t="s">
        <v>1451</v>
      </c>
      <c r="G107" s="19" t="str">
        <f>IF(COUNTIF(bystudent!B:B, C107) &gt; 0, "yes", "no")</f>
        <v>yes</v>
      </c>
    </row>
    <row r="108" ht="18.75" customHeight="1">
      <c r="A108" s="111" t="s">
        <v>1590</v>
      </c>
      <c r="B108" s="111" t="s">
        <v>1591</v>
      </c>
      <c r="C108" s="111" t="s">
        <v>1879</v>
      </c>
      <c r="D108" s="111" t="s">
        <v>405</v>
      </c>
      <c r="E108" s="111" t="s">
        <v>1880</v>
      </c>
      <c r="F108" s="111" t="s">
        <v>580</v>
      </c>
      <c r="G108" s="19" t="str">
        <f>IF(COUNTIF(bystudent!B:B, C108) &gt; 0, "yes", "no")</f>
        <v>yes</v>
      </c>
    </row>
    <row r="109" ht="18.75" customHeight="1">
      <c r="A109" s="111" t="s">
        <v>1590</v>
      </c>
      <c r="B109" s="111" t="s">
        <v>1591</v>
      </c>
      <c r="C109" s="111" t="s">
        <v>1881</v>
      </c>
      <c r="D109" s="111" t="s">
        <v>314</v>
      </c>
      <c r="E109" s="111" t="s">
        <v>1882</v>
      </c>
      <c r="F109" s="111" t="s">
        <v>1465</v>
      </c>
      <c r="G109" s="19" t="str">
        <f>IF(COUNTIF(bystudent!B:B, C109) &gt; 0, "yes", "no")</f>
        <v>yes</v>
      </c>
    </row>
    <row r="110" ht="18.75" customHeight="1">
      <c r="A110" s="111" t="s">
        <v>1590</v>
      </c>
      <c r="B110" s="111" t="s">
        <v>1591</v>
      </c>
      <c r="C110" s="111" t="s">
        <v>1883</v>
      </c>
      <c r="D110" s="111" t="s">
        <v>644</v>
      </c>
      <c r="E110" s="111" t="s">
        <v>1884</v>
      </c>
      <c r="F110" s="111" t="s">
        <v>655</v>
      </c>
      <c r="G110" s="19" t="str">
        <f>IF(COUNTIF(bystudent!B:B, C110) &gt; 0, "yes", "no")</f>
        <v>yes</v>
      </c>
    </row>
    <row r="111" ht="18.75" customHeight="1">
      <c r="A111" s="111" t="s">
        <v>1590</v>
      </c>
      <c r="B111" s="111" t="s">
        <v>1591</v>
      </c>
      <c r="C111" s="111" t="s">
        <v>1885</v>
      </c>
      <c r="D111" s="111" t="s">
        <v>658</v>
      </c>
      <c r="E111" s="111" t="s">
        <v>1886</v>
      </c>
      <c r="F111" s="111" t="s">
        <v>660</v>
      </c>
      <c r="G111" s="19" t="str">
        <f>IF(COUNTIF(bystudent!B:B, C111) &gt; 0, "yes", "no")</f>
        <v>yes</v>
      </c>
    </row>
    <row r="112" ht="18.75" customHeight="1">
      <c r="A112" s="111" t="s">
        <v>1590</v>
      </c>
      <c r="B112" s="111" t="s">
        <v>1591</v>
      </c>
      <c r="C112" s="111" t="s">
        <v>1887</v>
      </c>
      <c r="D112" s="111" t="s">
        <v>374</v>
      </c>
      <c r="E112" s="111" t="s">
        <v>1888</v>
      </c>
      <c r="F112" s="111" t="s">
        <v>575</v>
      </c>
      <c r="G112" s="19" t="str">
        <f>IF(COUNTIF(bystudent!B:B, C112) &gt; 0, "yes", "no")</f>
        <v>yes</v>
      </c>
    </row>
    <row r="113" ht="18.75" customHeight="1">
      <c r="A113" s="111" t="s">
        <v>1590</v>
      </c>
      <c r="B113" s="111" t="s">
        <v>1591</v>
      </c>
      <c r="C113" s="111" t="s">
        <v>1889</v>
      </c>
      <c r="D113" s="111" t="s">
        <v>481</v>
      </c>
      <c r="E113" s="111" t="s">
        <v>1890</v>
      </c>
      <c r="F113" s="111" t="s">
        <v>483</v>
      </c>
      <c r="G113" s="19" t="str">
        <f>IF(COUNTIF(bystudent!B:B, C113) &gt; 0, "yes", "no")</f>
        <v>yes</v>
      </c>
    </row>
    <row r="114" ht="18.75" customHeight="1">
      <c r="A114" s="111" t="s">
        <v>1590</v>
      </c>
      <c r="B114" s="111" t="s">
        <v>1591</v>
      </c>
      <c r="C114" s="111" t="s">
        <v>1891</v>
      </c>
      <c r="D114" s="111" t="s">
        <v>406</v>
      </c>
      <c r="E114" s="111" t="s">
        <v>1892</v>
      </c>
      <c r="F114" s="111" t="s">
        <v>949</v>
      </c>
      <c r="G114" s="19" t="str">
        <f>IF(COUNTIF(bystudent!B:B, C114) &gt; 0, "yes", "no")</f>
        <v>yes</v>
      </c>
    </row>
    <row r="115" ht="18.75" customHeight="1">
      <c r="A115" s="111" t="s">
        <v>1590</v>
      </c>
      <c r="B115" s="111" t="s">
        <v>1591</v>
      </c>
      <c r="C115" s="111" t="s">
        <v>1893</v>
      </c>
      <c r="D115" s="111" t="s">
        <v>205</v>
      </c>
      <c r="E115" s="111" t="s">
        <v>1894</v>
      </c>
      <c r="F115" s="111" t="s">
        <v>1207</v>
      </c>
      <c r="G115" s="19" t="str">
        <f>IF(COUNTIF(bystudent!B:B, C115) &gt; 0, "yes", "no")</f>
        <v>yes</v>
      </c>
    </row>
    <row r="116" ht="18.75" customHeight="1">
      <c r="A116" s="111" t="s">
        <v>1590</v>
      </c>
      <c r="B116" s="111" t="s">
        <v>1591</v>
      </c>
      <c r="C116" s="111" t="s">
        <v>1895</v>
      </c>
      <c r="D116" s="111" t="s">
        <v>248</v>
      </c>
      <c r="E116" s="111" t="s">
        <v>1896</v>
      </c>
      <c r="F116" s="111" t="s">
        <v>688</v>
      </c>
      <c r="G116" s="19" t="str">
        <f>IF(COUNTIF(bystudent!B:B, C116) &gt; 0, "yes", "no")</f>
        <v>yes</v>
      </c>
    </row>
    <row r="117" ht="18.75" customHeight="1">
      <c r="A117" s="111" t="s">
        <v>1590</v>
      </c>
      <c r="B117" s="111" t="s">
        <v>1591</v>
      </c>
      <c r="C117" s="111" t="s">
        <v>1897</v>
      </c>
      <c r="D117" s="111" t="s">
        <v>209</v>
      </c>
      <c r="E117" s="111" t="s">
        <v>1898</v>
      </c>
      <c r="F117" s="111" t="s">
        <v>1116</v>
      </c>
      <c r="G117" s="19" t="str">
        <f>IF(COUNTIF(bystudent!B:B, C117) &gt; 0, "yes", "no")</f>
        <v>yes</v>
      </c>
    </row>
    <row r="118" ht="18.75" customHeight="1">
      <c r="A118" s="111" t="s">
        <v>1590</v>
      </c>
      <c r="B118" s="111" t="s">
        <v>1591</v>
      </c>
      <c r="C118" s="111" t="s">
        <v>1899</v>
      </c>
      <c r="D118" s="111" t="s">
        <v>1294</v>
      </c>
      <c r="E118" s="111" t="s">
        <v>1900</v>
      </c>
      <c r="F118" s="111" t="s">
        <v>1300</v>
      </c>
      <c r="G118" s="19" t="str">
        <f>IF(COUNTIF(bystudent!B:B, C118) &gt; 0, "yes", "no")</f>
        <v>yes</v>
      </c>
    </row>
    <row r="119" ht="18.75" customHeight="1">
      <c r="A119" s="111" t="s">
        <v>1590</v>
      </c>
      <c r="B119" s="111" t="s">
        <v>1591</v>
      </c>
      <c r="C119" s="111" t="s">
        <v>1901</v>
      </c>
      <c r="D119" s="111" t="s">
        <v>1902</v>
      </c>
      <c r="E119" s="111" t="s">
        <v>1903</v>
      </c>
      <c r="F119" s="111" t="s">
        <v>1559</v>
      </c>
      <c r="G119" s="19" t="str">
        <f>IF(COUNTIF(bystudent!B:B, C119) &gt; 0, "yes", "no")</f>
        <v>yes</v>
      </c>
    </row>
    <row r="120" ht="18.75" customHeight="1">
      <c r="A120" s="111" t="s">
        <v>1590</v>
      </c>
      <c r="B120" s="111" t="s">
        <v>1591</v>
      </c>
      <c r="C120" s="111" t="s">
        <v>1904</v>
      </c>
      <c r="D120" s="111" t="s">
        <v>753</v>
      </c>
      <c r="E120" s="111" t="s">
        <v>1905</v>
      </c>
      <c r="F120" s="111" t="s">
        <v>755</v>
      </c>
      <c r="G120" s="19" t="str">
        <f>IF(COUNTIF(bystudent!B:B, C120) &gt; 0, "yes", "no")</f>
        <v>yes</v>
      </c>
    </row>
    <row r="121" ht="18.75" customHeight="1">
      <c r="A121" s="111" t="s">
        <v>1590</v>
      </c>
      <c r="B121" s="111" t="s">
        <v>1591</v>
      </c>
      <c r="C121" s="111" t="s">
        <v>1906</v>
      </c>
      <c r="D121" s="111" t="s">
        <v>1368</v>
      </c>
      <c r="E121" s="111" t="s">
        <v>1907</v>
      </c>
      <c r="F121" s="111" t="s">
        <v>1370</v>
      </c>
      <c r="G121" s="19" t="str">
        <f>IF(COUNTIF(bystudent!B:B, C121) &gt; 0, "yes", "no")</f>
        <v>yes</v>
      </c>
    </row>
    <row r="122" ht="18.75" customHeight="1">
      <c r="A122" s="111" t="s">
        <v>1590</v>
      </c>
      <c r="B122" s="111" t="s">
        <v>1591</v>
      </c>
      <c r="C122" s="111" t="s">
        <v>1908</v>
      </c>
      <c r="D122" s="111" t="s">
        <v>1051</v>
      </c>
      <c r="E122" s="111" t="s">
        <v>1909</v>
      </c>
      <c r="F122" s="111" t="s">
        <v>1050</v>
      </c>
      <c r="G122" s="19" t="str">
        <f>IF(COUNTIF(bystudent!B:B, C122) &gt; 0, "yes", "no")</f>
        <v>yes</v>
      </c>
    </row>
    <row r="123" ht="18.75" customHeight="1">
      <c r="A123" s="111" t="s">
        <v>1590</v>
      </c>
      <c r="B123" s="111" t="s">
        <v>1591</v>
      </c>
      <c r="C123" s="111" t="s">
        <v>1910</v>
      </c>
      <c r="D123" s="111" t="s">
        <v>95</v>
      </c>
      <c r="E123" s="111" t="s">
        <v>1911</v>
      </c>
      <c r="F123" s="111" t="s">
        <v>1076</v>
      </c>
      <c r="G123" s="19" t="str">
        <f>IF(COUNTIF(bystudent!B:B, C123) &gt; 0, "yes", "no")</f>
        <v>yes</v>
      </c>
    </row>
    <row r="124" ht="18.75" customHeight="1">
      <c r="A124" s="111" t="s">
        <v>1590</v>
      </c>
      <c r="B124" s="111" t="s">
        <v>1591</v>
      </c>
      <c r="C124" s="111" t="s">
        <v>1912</v>
      </c>
      <c r="D124" s="111" t="s">
        <v>181</v>
      </c>
      <c r="E124" s="111" t="s">
        <v>1913</v>
      </c>
      <c r="F124" s="111" t="s">
        <v>765</v>
      </c>
      <c r="G124" s="19" t="str">
        <f>IF(COUNTIF(bystudent!B:B, C124) &gt; 0, "yes", "no")</f>
        <v>yes</v>
      </c>
    </row>
    <row r="125" ht="18.75" customHeight="1">
      <c r="A125" s="111" t="s">
        <v>1590</v>
      </c>
      <c r="B125" s="111" t="s">
        <v>1591</v>
      </c>
      <c r="C125" s="111" t="s">
        <v>1914</v>
      </c>
      <c r="D125" s="111" t="s">
        <v>733</v>
      </c>
      <c r="E125" s="111" t="s">
        <v>1915</v>
      </c>
      <c r="F125" s="111" t="s">
        <v>736</v>
      </c>
      <c r="G125" s="19" t="str">
        <f>IF(COUNTIF(bystudent!B:B, C125) &gt; 0, "yes", "no")</f>
        <v>yes</v>
      </c>
    </row>
    <row r="126" ht="18.75" customHeight="1">
      <c r="A126" s="111" t="s">
        <v>1590</v>
      </c>
      <c r="B126" s="111" t="s">
        <v>1591</v>
      </c>
      <c r="C126" s="111" t="s">
        <v>1916</v>
      </c>
      <c r="D126" s="111" t="s">
        <v>238</v>
      </c>
      <c r="E126" s="111" t="s">
        <v>1917</v>
      </c>
      <c r="F126" s="111" t="s">
        <v>729</v>
      </c>
      <c r="G126" s="19" t="str">
        <f>IF(COUNTIF(bystudent!B:B, C126) &gt; 0, "yes", "no")</f>
        <v>yes</v>
      </c>
    </row>
    <row r="127" ht="18.75" customHeight="1">
      <c r="A127" s="111" t="s">
        <v>1590</v>
      </c>
      <c r="B127" s="111" t="s">
        <v>1591</v>
      </c>
      <c r="C127" s="111" t="s">
        <v>1918</v>
      </c>
      <c r="D127" s="111" t="s">
        <v>216</v>
      </c>
      <c r="E127" s="111" t="s">
        <v>1919</v>
      </c>
      <c r="F127" s="111" t="s">
        <v>215</v>
      </c>
      <c r="G127" s="19" t="str">
        <f>IF(COUNTIF(bystudent!B:B, C127) &gt; 0, "yes", "no")</f>
        <v>yes</v>
      </c>
    </row>
    <row r="128" ht="18.75" customHeight="1">
      <c r="A128" s="111" t="s">
        <v>1590</v>
      </c>
      <c r="B128" s="111" t="s">
        <v>1591</v>
      </c>
      <c r="C128" s="111" t="s">
        <v>1920</v>
      </c>
      <c r="D128" s="111" t="s">
        <v>403</v>
      </c>
      <c r="E128" s="111" t="s">
        <v>1921</v>
      </c>
      <c r="F128" s="111" t="s">
        <v>501</v>
      </c>
      <c r="G128" s="19" t="str">
        <f>IF(COUNTIF(bystudent!B:B, C128) &gt; 0, "yes", "no")</f>
        <v>yes</v>
      </c>
    </row>
    <row r="129" ht="18.75" customHeight="1">
      <c r="A129" s="111" t="s">
        <v>1590</v>
      </c>
      <c r="B129" s="111" t="s">
        <v>1591</v>
      </c>
      <c r="C129" s="111" t="s">
        <v>1922</v>
      </c>
      <c r="D129" s="111" t="s">
        <v>1505</v>
      </c>
      <c r="E129" s="111" t="s">
        <v>1923</v>
      </c>
      <c r="F129" s="111" t="s">
        <v>1507</v>
      </c>
      <c r="G129" s="19" t="str">
        <f>IF(COUNTIF(bystudent!B:B, C129) &gt; 0, "yes", "no")</f>
        <v>yes</v>
      </c>
    </row>
    <row r="130" ht="18.75" customHeight="1">
      <c r="A130" s="111" t="s">
        <v>1590</v>
      </c>
      <c r="B130" s="111" t="s">
        <v>1591</v>
      </c>
      <c r="C130" s="111" t="s">
        <v>1924</v>
      </c>
      <c r="D130" s="111" t="s">
        <v>306</v>
      </c>
      <c r="E130" s="111" t="s">
        <v>1925</v>
      </c>
      <c r="F130" s="111" t="s">
        <v>304</v>
      </c>
      <c r="G130" s="19" t="str">
        <f>IF(COUNTIF(bystudent!B:B, C130) &gt; 0, "yes", "no")</f>
        <v>yes</v>
      </c>
    </row>
    <row r="131" ht="18.75" customHeight="1">
      <c r="A131" s="111" t="s">
        <v>1590</v>
      </c>
      <c r="B131" s="111" t="s">
        <v>1591</v>
      </c>
      <c r="C131" s="111" t="s">
        <v>1926</v>
      </c>
      <c r="D131" s="111" t="s">
        <v>1057</v>
      </c>
      <c r="E131" s="111" t="s">
        <v>1927</v>
      </c>
      <c r="F131" s="111" t="s">
        <v>1055</v>
      </c>
      <c r="G131" s="19" t="str">
        <f>IF(COUNTIF(bystudent!B:B, C131) &gt; 0, "yes", "no")</f>
        <v>yes</v>
      </c>
    </row>
    <row r="132" ht="18.75" customHeight="1">
      <c r="A132" s="111" t="s">
        <v>1590</v>
      </c>
      <c r="B132" s="111" t="s">
        <v>1591</v>
      </c>
      <c r="C132" s="111" t="s">
        <v>1928</v>
      </c>
      <c r="D132" s="111" t="s">
        <v>115</v>
      </c>
      <c r="E132" s="111" t="s">
        <v>1929</v>
      </c>
      <c r="F132" s="111" t="s">
        <v>689</v>
      </c>
      <c r="G132" s="19" t="str">
        <f>IF(COUNTIF(bystudent!B:B, C132) &gt; 0, "yes", "no")</f>
        <v>yes</v>
      </c>
    </row>
    <row r="133" ht="18.75" customHeight="1">
      <c r="A133" s="111" t="s">
        <v>1590</v>
      </c>
      <c r="B133" s="111" t="s">
        <v>1591</v>
      </c>
      <c r="C133" s="111" t="s">
        <v>1930</v>
      </c>
      <c r="D133" s="111" t="s">
        <v>1525</v>
      </c>
      <c r="E133" s="111" t="s">
        <v>1931</v>
      </c>
      <c r="F133" s="111" t="s">
        <v>1527</v>
      </c>
      <c r="G133" s="19" t="str">
        <f>IF(COUNTIF(bystudent!B:B, C133) &gt; 0, "yes", "no")</f>
        <v>yes</v>
      </c>
    </row>
    <row r="134" ht="18.75" customHeight="1">
      <c r="A134" s="111" t="s">
        <v>1590</v>
      </c>
      <c r="B134" s="111" t="s">
        <v>1591</v>
      </c>
      <c r="C134" s="111" t="s">
        <v>1932</v>
      </c>
      <c r="D134" s="111" t="s">
        <v>275</v>
      </c>
      <c r="E134" s="111" t="s">
        <v>1933</v>
      </c>
      <c r="F134" s="111" t="s">
        <v>1236</v>
      </c>
      <c r="G134" s="19" t="str">
        <f>IF(COUNTIF(bystudent!B:B, C134) &gt; 0, "yes", "no")</f>
        <v>yes</v>
      </c>
    </row>
    <row r="135" ht="18.75" customHeight="1">
      <c r="A135" s="111" t="s">
        <v>1590</v>
      </c>
      <c r="B135" s="111" t="s">
        <v>1591</v>
      </c>
      <c r="C135" s="111" t="s">
        <v>1934</v>
      </c>
      <c r="D135" s="111" t="s">
        <v>121</v>
      </c>
      <c r="E135" s="111" t="s">
        <v>1935</v>
      </c>
      <c r="F135" s="111" t="s">
        <v>702</v>
      </c>
      <c r="G135" s="19" t="str">
        <f>IF(COUNTIF(bystudent!B:B, C135) &gt; 0, "yes", "no")</f>
        <v>yes</v>
      </c>
    </row>
    <row r="136" ht="18.75" customHeight="1">
      <c r="A136" s="111" t="s">
        <v>1590</v>
      </c>
      <c r="B136" s="111" t="s">
        <v>1591</v>
      </c>
      <c r="C136" s="111" t="s">
        <v>1936</v>
      </c>
      <c r="D136" s="111" t="s">
        <v>135</v>
      </c>
      <c r="E136" s="111" t="s">
        <v>1937</v>
      </c>
      <c r="F136" s="111" t="s">
        <v>1457</v>
      </c>
      <c r="G136" s="19" t="str">
        <f>IF(COUNTIF(bystudent!B:B, C136) &gt; 0, "yes", "no")</f>
        <v>yes</v>
      </c>
    </row>
    <row r="137" ht="18.75" customHeight="1">
      <c r="A137" s="111" t="s">
        <v>1590</v>
      </c>
      <c r="B137" s="111" t="s">
        <v>1591</v>
      </c>
      <c r="C137" s="111" t="s">
        <v>1938</v>
      </c>
      <c r="D137" s="111" t="s">
        <v>661</v>
      </c>
      <c r="E137" s="111" t="s">
        <v>1939</v>
      </c>
      <c r="F137" s="111" t="s">
        <v>663</v>
      </c>
      <c r="G137" s="19" t="str">
        <f>IF(COUNTIF(bystudent!B:B, C137) &gt; 0, "yes", "no")</f>
        <v>yes</v>
      </c>
    </row>
    <row r="138" ht="18.75" customHeight="1">
      <c r="A138" s="111" t="s">
        <v>1590</v>
      </c>
      <c r="B138" s="111" t="s">
        <v>1591</v>
      </c>
      <c r="C138" s="111" t="s">
        <v>1940</v>
      </c>
      <c r="D138" s="111" t="s">
        <v>118</v>
      </c>
      <c r="E138" s="111" t="s">
        <v>1941</v>
      </c>
      <c r="F138" s="111" t="s">
        <v>676</v>
      </c>
      <c r="G138" s="19" t="str">
        <f>IF(COUNTIF(bystudent!B:B, C138) &gt; 0, "yes", "no")</f>
        <v>yes</v>
      </c>
    </row>
    <row r="139" ht="18.75" customHeight="1">
      <c r="A139" s="111" t="s">
        <v>1590</v>
      </c>
      <c r="B139" s="111" t="s">
        <v>1591</v>
      </c>
      <c r="C139" s="111" t="s">
        <v>1942</v>
      </c>
      <c r="D139" s="111" t="s">
        <v>147</v>
      </c>
      <c r="E139" s="111" t="s">
        <v>1943</v>
      </c>
      <c r="F139" s="111" t="s">
        <v>592</v>
      </c>
      <c r="G139" s="19" t="str">
        <f>IF(COUNTIF(bystudent!B:B, C139) &gt; 0, "yes", "no")</f>
        <v>yes</v>
      </c>
    </row>
    <row r="140" ht="18.75" customHeight="1">
      <c r="A140" s="111" t="s">
        <v>1590</v>
      </c>
      <c r="B140" s="111" t="s">
        <v>1591</v>
      </c>
      <c r="C140" s="111" t="s">
        <v>1944</v>
      </c>
      <c r="D140" s="111" t="s">
        <v>1945</v>
      </c>
      <c r="E140" s="111" t="s">
        <v>1946</v>
      </c>
      <c r="F140" s="111" t="s">
        <v>1947</v>
      </c>
      <c r="G140" s="19" t="str">
        <f>IF(COUNTIF(bystudent!B:B, C140) &gt; 0, "yes", "no")</f>
        <v>yes</v>
      </c>
    </row>
    <row r="141" ht="18.75" customHeight="1">
      <c r="A141" s="111" t="s">
        <v>1590</v>
      </c>
      <c r="B141" s="111" t="s">
        <v>1591</v>
      </c>
      <c r="C141" s="111" t="s">
        <v>1948</v>
      </c>
      <c r="D141" s="111" t="s">
        <v>516</v>
      </c>
      <c r="E141" s="111" t="s">
        <v>1949</v>
      </c>
      <c r="F141" s="111" t="s">
        <v>515</v>
      </c>
      <c r="G141" s="19" t="str">
        <f>IF(COUNTIF(bystudent!B:B, C141) &gt; 0, "yes", "no")</f>
        <v>yes</v>
      </c>
    </row>
    <row r="142" ht="18.75" customHeight="1">
      <c r="A142" s="111" t="s">
        <v>1590</v>
      </c>
      <c r="B142" s="111" t="s">
        <v>1591</v>
      </c>
      <c r="C142" s="111" t="s">
        <v>1950</v>
      </c>
      <c r="D142" s="111" t="s">
        <v>1473</v>
      </c>
      <c r="E142" s="111" t="s">
        <v>1951</v>
      </c>
      <c r="F142" s="111" t="s">
        <v>1472</v>
      </c>
      <c r="G142" s="19" t="str">
        <f>IF(COUNTIF(bystudent!B:B, C142) &gt; 0, "yes", "no")</f>
        <v>yes</v>
      </c>
    </row>
    <row r="143" ht="18.75" customHeight="1">
      <c r="A143" s="111" t="s">
        <v>1590</v>
      </c>
      <c r="B143" s="111" t="s">
        <v>1591</v>
      </c>
      <c r="C143" s="111" t="s">
        <v>1952</v>
      </c>
      <c r="D143" s="111" t="s">
        <v>133</v>
      </c>
      <c r="E143" s="111" t="s">
        <v>1953</v>
      </c>
      <c r="F143" s="111" t="s">
        <v>742</v>
      </c>
      <c r="G143" s="19" t="str">
        <f>IF(COUNTIF(bystudent!B:B, C143) &gt; 0, "yes", "no")</f>
        <v>yes</v>
      </c>
    </row>
    <row r="144" ht="18.75" customHeight="1">
      <c r="A144" s="111" t="s">
        <v>1590</v>
      </c>
      <c r="B144" s="111" t="s">
        <v>1591</v>
      </c>
      <c r="C144" s="111" t="s">
        <v>1954</v>
      </c>
      <c r="D144" s="111" t="s">
        <v>102</v>
      </c>
      <c r="E144" s="111" t="s">
        <v>1955</v>
      </c>
      <c r="F144" s="111" t="s">
        <v>1397</v>
      </c>
      <c r="G144" s="19" t="str">
        <f>IF(COUNTIF(bystudent!B:B, C144) &gt; 0, "yes", "no")</f>
        <v>yes</v>
      </c>
    </row>
    <row r="145" ht="18.75" customHeight="1">
      <c r="A145" s="111" t="s">
        <v>1590</v>
      </c>
      <c r="B145" s="111" t="s">
        <v>1591</v>
      </c>
      <c r="C145" s="111" t="s">
        <v>1956</v>
      </c>
      <c r="D145" s="111" t="s">
        <v>326</v>
      </c>
      <c r="E145" s="111" t="s">
        <v>1957</v>
      </c>
      <c r="F145" s="111" t="s">
        <v>1521</v>
      </c>
      <c r="G145" s="19" t="str">
        <f>IF(COUNTIF(bystudent!B:B, C145) &gt; 0, "yes", "no")</f>
        <v>yes</v>
      </c>
    </row>
    <row r="146" ht="18.75" customHeight="1">
      <c r="A146" s="111" t="s">
        <v>1590</v>
      </c>
      <c r="B146" s="111" t="s">
        <v>1591</v>
      </c>
      <c r="C146" s="111" t="s">
        <v>2208</v>
      </c>
      <c r="D146" s="111" t="s">
        <v>316</v>
      </c>
      <c r="E146" s="111" t="s">
        <v>2209</v>
      </c>
      <c r="F146" s="111" t="s">
        <v>459</v>
      </c>
      <c r="G146" s="19" t="str">
        <f>IF(COUNTIF(bystudent!B:B, C146) &gt; 0, "yes", "no")</f>
        <v>yes</v>
      </c>
    </row>
    <row r="147" ht="18.75" customHeight="1">
      <c r="A147" s="111" t="s">
        <v>1590</v>
      </c>
      <c r="B147" s="111" t="s">
        <v>1591</v>
      </c>
      <c r="C147" s="111" t="s">
        <v>1958</v>
      </c>
      <c r="D147" s="111" t="s">
        <v>246</v>
      </c>
      <c r="E147" s="111" t="s">
        <v>1959</v>
      </c>
      <c r="F147" s="111" t="s">
        <v>1020</v>
      </c>
      <c r="G147" s="19" t="str">
        <f>IF(COUNTIF(bystudent!B:B, C147) &gt; 0, "yes", "no")</f>
        <v>yes</v>
      </c>
    </row>
    <row r="148" ht="18.75" customHeight="1">
      <c r="A148" s="111" t="s">
        <v>1590</v>
      </c>
      <c r="B148" s="111" t="s">
        <v>1591</v>
      </c>
      <c r="C148" s="111" t="s">
        <v>1961</v>
      </c>
      <c r="D148" s="111" t="s">
        <v>230</v>
      </c>
      <c r="E148" s="111" t="s">
        <v>1962</v>
      </c>
      <c r="F148" s="111" t="s">
        <v>1174</v>
      </c>
      <c r="G148" s="19" t="str">
        <f>IF(COUNTIF(bystudent!B:B, C148) &gt; 0, "yes", "no")</f>
        <v>yes</v>
      </c>
    </row>
    <row r="149" ht="18.75" customHeight="1">
      <c r="A149" s="111" t="s">
        <v>1590</v>
      </c>
      <c r="B149" s="111" t="s">
        <v>1591</v>
      </c>
      <c r="C149" s="111" t="s">
        <v>1963</v>
      </c>
      <c r="D149" s="111" t="s">
        <v>543</v>
      </c>
      <c r="E149" s="111" t="s">
        <v>1964</v>
      </c>
      <c r="F149" s="111" t="s">
        <v>545</v>
      </c>
      <c r="G149" s="19" t="str">
        <f>IF(COUNTIF(bystudent!B:B, C149) &gt; 0, "yes", "no")</f>
        <v>yes</v>
      </c>
    </row>
    <row r="150" ht="18.75" customHeight="1">
      <c r="A150" s="111" t="s">
        <v>1590</v>
      </c>
      <c r="B150" s="111" t="s">
        <v>1591</v>
      </c>
      <c r="C150" s="111" t="s">
        <v>1967</v>
      </c>
      <c r="D150" s="111" t="s">
        <v>1384</v>
      </c>
      <c r="E150" s="111" t="s">
        <v>1968</v>
      </c>
      <c r="F150" s="111" t="s">
        <v>1383</v>
      </c>
      <c r="G150" s="19" t="str">
        <f>IF(COUNTIF(bystudent!B:B, C150) &gt; 0, "yes", "no")</f>
        <v>yes</v>
      </c>
    </row>
    <row r="151" ht="18.75" customHeight="1">
      <c r="A151" s="111" t="s">
        <v>1590</v>
      </c>
      <c r="B151" s="111" t="s">
        <v>1591</v>
      </c>
      <c r="C151" s="111" t="s">
        <v>1969</v>
      </c>
      <c r="D151" s="111" t="s">
        <v>1476</v>
      </c>
      <c r="E151" s="111" t="s">
        <v>1970</v>
      </c>
      <c r="F151" s="111" t="s">
        <v>1481</v>
      </c>
      <c r="G151" s="19" t="str">
        <f>IF(COUNTIF(bystudent!B:B, C151) &gt; 0, "yes", "no")</f>
        <v>yes</v>
      </c>
    </row>
    <row r="152" ht="18.75" customHeight="1">
      <c r="A152" s="111" t="s">
        <v>1590</v>
      </c>
      <c r="B152" s="111" t="s">
        <v>1591</v>
      </c>
      <c r="C152" s="111" t="s">
        <v>1971</v>
      </c>
      <c r="D152" s="111" t="s">
        <v>120</v>
      </c>
      <c r="E152" s="111" t="s">
        <v>1972</v>
      </c>
      <c r="F152" s="111" t="s">
        <v>823</v>
      </c>
      <c r="G152" s="19" t="str">
        <f>IF(COUNTIF(bystudent!B:B, C152) &gt; 0, "yes", "no")</f>
        <v>yes</v>
      </c>
    </row>
    <row r="153" ht="18.75" customHeight="1">
      <c r="A153" s="111" t="s">
        <v>1590</v>
      </c>
      <c r="B153" s="111" t="s">
        <v>1591</v>
      </c>
      <c r="C153" s="111" t="s">
        <v>1973</v>
      </c>
      <c r="D153" s="111" t="s">
        <v>373</v>
      </c>
      <c r="E153" s="111" t="s">
        <v>1974</v>
      </c>
      <c r="F153" s="111" t="s">
        <v>562</v>
      </c>
      <c r="G153" s="19" t="str">
        <f>IF(COUNTIF(bystudent!B:B, C153) &gt; 0, "yes", "no")</f>
        <v>yes</v>
      </c>
    </row>
    <row r="154" ht="18.75" customHeight="1">
      <c r="A154" s="111" t="s">
        <v>1590</v>
      </c>
      <c r="B154" s="111" t="s">
        <v>1591</v>
      </c>
      <c r="C154" s="111" t="s">
        <v>1975</v>
      </c>
      <c r="D154" s="111" t="s">
        <v>1271</v>
      </c>
      <c r="E154" s="111" t="s">
        <v>1976</v>
      </c>
      <c r="F154" s="111" t="s">
        <v>1270</v>
      </c>
      <c r="G154" s="19" t="str">
        <f>IF(COUNTIF(bystudent!B:B, C154) &gt; 0, "yes", "no")</f>
        <v>yes</v>
      </c>
    </row>
    <row r="155" ht="18.75" customHeight="1">
      <c r="A155" s="111" t="s">
        <v>1590</v>
      </c>
      <c r="B155" s="111" t="s">
        <v>1591</v>
      </c>
      <c r="C155" s="111" t="s">
        <v>1977</v>
      </c>
      <c r="D155" s="111" t="s">
        <v>287</v>
      </c>
      <c r="E155" s="111" t="s">
        <v>1978</v>
      </c>
      <c r="F155" s="111" t="s">
        <v>1138</v>
      </c>
      <c r="G155" s="19" t="str">
        <f>IF(COUNTIF(bystudent!B:B, C155) &gt; 0, "yes", "no")</f>
        <v>yes</v>
      </c>
    </row>
    <row r="156" ht="18.75" customHeight="1">
      <c r="A156" s="111" t="s">
        <v>1590</v>
      </c>
      <c r="B156" s="111" t="s">
        <v>1591</v>
      </c>
      <c r="C156" s="111" t="s">
        <v>1979</v>
      </c>
      <c r="D156" s="111" t="s">
        <v>242</v>
      </c>
      <c r="E156" s="111" t="s">
        <v>1980</v>
      </c>
      <c r="F156" s="111" t="s">
        <v>1210</v>
      </c>
      <c r="G156" s="19" t="str">
        <f>IF(COUNTIF(bystudent!B:B, C156) &gt; 0, "yes", "no")</f>
        <v>yes</v>
      </c>
    </row>
    <row r="157" ht="18.75" customHeight="1">
      <c r="A157" s="111" t="s">
        <v>1590</v>
      </c>
      <c r="B157" s="111" t="s">
        <v>1591</v>
      </c>
      <c r="C157" s="111" t="s">
        <v>1981</v>
      </c>
      <c r="D157" s="111" t="s">
        <v>1196</v>
      </c>
      <c r="E157" s="111" t="s">
        <v>1982</v>
      </c>
      <c r="F157" s="111" t="s">
        <v>1198</v>
      </c>
      <c r="G157" s="19" t="str">
        <f>IF(COUNTIF(bystudent!B:B, C157) &gt; 0, "yes", "no")</f>
        <v>yes</v>
      </c>
    </row>
    <row r="158" ht="18.75" customHeight="1">
      <c r="A158" s="111" t="s">
        <v>1590</v>
      </c>
      <c r="B158" s="111" t="s">
        <v>1591</v>
      </c>
      <c r="C158" s="111" t="s">
        <v>1983</v>
      </c>
      <c r="D158" s="111" t="s">
        <v>160</v>
      </c>
      <c r="E158" s="111" t="s">
        <v>1984</v>
      </c>
      <c r="F158" s="111" t="s">
        <v>706</v>
      </c>
      <c r="G158" s="19" t="str">
        <f>IF(COUNTIF(bystudent!B:B, C158) &gt; 0, "yes", "no")</f>
        <v>yes</v>
      </c>
    </row>
    <row r="159" ht="18.75" customHeight="1">
      <c r="A159" s="111" t="s">
        <v>1590</v>
      </c>
      <c r="B159" s="111" t="s">
        <v>1591</v>
      </c>
      <c r="C159" s="111" t="s">
        <v>1985</v>
      </c>
      <c r="D159" s="111" t="s">
        <v>249</v>
      </c>
      <c r="E159" s="111" t="s">
        <v>1986</v>
      </c>
      <c r="F159" s="111" t="s">
        <v>1245</v>
      </c>
      <c r="G159" s="19" t="str">
        <f>IF(COUNTIF(bystudent!B:B, C159) &gt; 0, "yes", "no")</f>
        <v>yes</v>
      </c>
    </row>
    <row r="160" ht="18.75" customHeight="1">
      <c r="A160" s="111" t="s">
        <v>1590</v>
      </c>
      <c r="B160" s="111" t="s">
        <v>1591</v>
      </c>
      <c r="C160" s="111" t="s">
        <v>1987</v>
      </c>
      <c r="D160" s="111" t="s">
        <v>332</v>
      </c>
      <c r="E160" s="111" t="s">
        <v>1988</v>
      </c>
      <c r="F160" s="111" t="s">
        <v>484</v>
      </c>
      <c r="G160" s="19" t="str">
        <f>IF(COUNTIF(bystudent!B:B, C160) &gt; 0, "yes", "no")</f>
        <v>yes</v>
      </c>
    </row>
    <row r="161" ht="18.75" customHeight="1">
      <c r="A161" s="111" t="s">
        <v>1590</v>
      </c>
      <c r="B161" s="111" t="s">
        <v>1591</v>
      </c>
      <c r="C161" s="111" t="s">
        <v>1989</v>
      </c>
      <c r="D161" s="111" t="s">
        <v>747</v>
      </c>
      <c r="E161" s="111" t="s">
        <v>1990</v>
      </c>
      <c r="F161" s="111" t="s">
        <v>749</v>
      </c>
      <c r="G161" s="19" t="str">
        <f>IF(COUNTIF(bystudent!B:B, C161) &gt; 0, "yes", "no")</f>
        <v>yes</v>
      </c>
    </row>
    <row r="162" ht="18.75" customHeight="1">
      <c r="A162" s="111" t="s">
        <v>1590</v>
      </c>
      <c r="B162" s="111" t="s">
        <v>1591</v>
      </c>
      <c r="C162" s="111" t="s">
        <v>1991</v>
      </c>
      <c r="D162" s="111" t="s">
        <v>213</v>
      </c>
      <c r="E162" s="111" t="s">
        <v>1992</v>
      </c>
      <c r="F162" s="111" t="s">
        <v>957</v>
      </c>
      <c r="G162" s="19" t="str">
        <f>IF(COUNTIF(bystudent!B:B, C162) &gt; 0, "yes", "no")</f>
        <v>yes</v>
      </c>
    </row>
    <row r="163" ht="18.75" customHeight="1">
      <c r="A163" s="111" t="s">
        <v>1590</v>
      </c>
      <c r="B163" s="111" t="s">
        <v>1591</v>
      </c>
      <c r="C163" s="111" t="s">
        <v>1993</v>
      </c>
      <c r="D163" s="111" t="s">
        <v>554</v>
      </c>
      <c r="E163" s="111" t="s">
        <v>1994</v>
      </c>
      <c r="F163" s="111" t="s">
        <v>559</v>
      </c>
      <c r="G163" s="19" t="str">
        <f>IF(COUNTIF(bystudent!B:B, C163) &gt; 0, "yes", "no")</f>
        <v>yes</v>
      </c>
    </row>
    <row r="164" ht="18.75" customHeight="1">
      <c r="A164" s="111" t="s">
        <v>1590</v>
      </c>
      <c r="B164" s="111" t="s">
        <v>1591</v>
      </c>
      <c r="C164" s="111" t="s">
        <v>1995</v>
      </c>
      <c r="D164" s="111" t="s">
        <v>978</v>
      </c>
      <c r="E164" s="111" t="s">
        <v>1996</v>
      </c>
      <c r="F164" s="111" t="s">
        <v>977</v>
      </c>
      <c r="G164" s="19" t="str">
        <f>IF(COUNTIF(bystudent!B:B, C164) &gt; 0, "yes", "no")</f>
        <v>yes</v>
      </c>
    </row>
    <row r="165" ht="18.75" customHeight="1">
      <c r="A165" s="111" t="s">
        <v>1590</v>
      </c>
      <c r="B165" s="111" t="s">
        <v>1591</v>
      </c>
      <c r="C165" s="111" t="s">
        <v>1997</v>
      </c>
      <c r="D165" s="111" t="s">
        <v>1166</v>
      </c>
      <c r="E165" s="111" t="s">
        <v>1998</v>
      </c>
      <c r="F165" s="111" t="s">
        <v>1165</v>
      </c>
      <c r="G165" s="19" t="str">
        <f>IF(COUNTIF(bystudent!B:B, C165) &gt; 0, "yes", "no")</f>
        <v>yes</v>
      </c>
    </row>
    <row r="166" ht="18.75" customHeight="1">
      <c r="A166" s="111" t="s">
        <v>1590</v>
      </c>
      <c r="B166" s="111" t="s">
        <v>1591</v>
      </c>
      <c r="C166" s="111" t="s">
        <v>1999</v>
      </c>
      <c r="D166" s="111" t="s">
        <v>961</v>
      </c>
      <c r="E166" s="111" t="s">
        <v>2000</v>
      </c>
      <c r="F166" s="111" t="s">
        <v>960</v>
      </c>
      <c r="G166" s="19" t="str">
        <f>IF(COUNTIF(bystudent!B:B, C166) &gt; 0, "yes", "no")</f>
        <v>yes</v>
      </c>
    </row>
    <row r="167" ht="18.75" customHeight="1">
      <c r="A167" s="111" t="s">
        <v>1590</v>
      </c>
      <c r="B167" s="111" t="s">
        <v>1591</v>
      </c>
      <c r="C167" s="111" t="s">
        <v>2001</v>
      </c>
      <c r="D167" s="111" t="s">
        <v>642</v>
      </c>
      <c r="E167" s="111" t="s">
        <v>2002</v>
      </c>
      <c r="F167" s="111" t="s">
        <v>645</v>
      </c>
      <c r="G167" s="19" t="str">
        <f>IF(COUNTIF(bystudent!B:B, C167) &gt; 0, "yes", "no")</f>
        <v>yes</v>
      </c>
    </row>
    <row r="168" ht="18.75" customHeight="1">
      <c r="A168" s="111" t="s">
        <v>1590</v>
      </c>
      <c r="B168" s="111" t="s">
        <v>1591</v>
      </c>
      <c r="C168" s="111" t="s">
        <v>2003</v>
      </c>
      <c r="D168" s="111" t="s">
        <v>155</v>
      </c>
      <c r="E168" s="111" t="s">
        <v>2004</v>
      </c>
      <c r="F168" s="111" t="s">
        <v>525</v>
      </c>
      <c r="G168" s="19" t="str">
        <f>IF(COUNTIF(bystudent!B:B, C168) &gt; 0, "yes", "no")</f>
        <v>yes</v>
      </c>
    </row>
    <row r="169" ht="18.75" customHeight="1">
      <c r="A169" s="111" t="s">
        <v>1590</v>
      </c>
      <c r="B169" s="111" t="s">
        <v>1591</v>
      </c>
      <c r="C169" s="111" t="s">
        <v>2005</v>
      </c>
      <c r="D169" s="111" t="s">
        <v>311</v>
      </c>
      <c r="E169" s="111" t="s">
        <v>2006</v>
      </c>
      <c r="F169" s="111" t="s">
        <v>1186</v>
      </c>
      <c r="G169" s="19" t="str">
        <f>IF(COUNTIF(bystudent!B:B, C169) &gt; 0, "yes", "no")</f>
        <v>yes</v>
      </c>
    </row>
    <row r="170" ht="18.75" customHeight="1">
      <c r="A170" s="111" t="s">
        <v>1590</v>
      </c>
      <c r="B170" s="111" t="s">
        <v>1591</v>
      </c>
      <c r="C170" s="111" t="s">
        <v>2007</v>
      </c>
      <c r="D170" s="111" t="s">
        <v>441</v>
      </c>
      <c r="E170" s="111" t="s">
        <v>2008</v>
      </c>
      <c r="F170" s="111" t="s">
        <v>440</v>
      </c>
      <c r="G170" s="19" t="str">
        <f>IF(COUNTIF(bystudent!B:B, C170) &gt; 0, "yes", "no")</f>
        <v>yes</v>
      </c>
    </row>
    <row r="171" ht="18.75" customHeight="1">
      <c r="A171" s="111" t="s">
        <v>1590</v>
      </c>
      <c r="B171" s="111" t="s">
        <v>1591</v>
      </c>
      <c r="C171" s="111" t="s">
        <v>2009</v>
      </c>
      <c r="D171" s="111" t="s">
        <v>611</v>
      </c>
      <c r="E171" s="111" t="s">
        <v>2010</v>
      </c>
      <c r="F171" s="111" t="s">
        <v>610</v>
      </c>
      <c r="G171" s="19" t="str">
        <f>IF(COUNTIF(bystudent!B:B, C171) &gt; 0, "yes", "no")</f>
        <v>yes</v>
      </c>
    </row>
    <row r="172" ht="18.75" customHeight="1">
      <c r="A172" s="111" t="s">
        <v>1590</v>
      </c>
      <c r="B172" s="111" t="s">
        <v>1591</v>
      </c>
      <c r="C172" s="111" t="s">
        <v>2011</v>
      </c>
      <c r="D172" s="111" t="s">
        <v>243</v>
      </c>
      <c r="E172" s="111" t="s">
        <v>2012</v>
      </c>
      <c r="F172" s="111" t="s">
        <v>1213</v>
      </c>
      <c r="G172" s="19" t="str">
        <f>IF(COUNTIF(bystudent!B:B, C172) &gt; 0, "yes", "no")</f>
        <v>yes</v>
      </c>
    </row>
    <row r="173" ht="18.75" customHeight="1">
      <c r="A173" s="111" t="s">
        <v>1590</v>
      </c>
      <c r="B173" s="111" t="s">
        <v>1591</v>
      </c>
      <c r="C173" s="111" t="s">
        <v>2013</v>
      </c>
      <c r="D173" s="111" t="s">
        <v>139</v>
      </c>
      <c r="E173" s="111" t="s">
        <v>2014</v>
      </c>
      <c r="F173" s="111" t="s">
        <v>761</v>
      </c>
      <c r="G173" s="19" t="str">
        <f>IF(COUNTIF(bystudent!B:B, C173) &gt; 0, "yes", "no")</f>
        <v>yes</v>
      </c>
    </row>
    <row r="174" ht="18.75" customHeight="1">
      <c r="A174" s="111" t="s">
        <v>1590</v>
      </c>
      <c r="B174" s="111" t="s">
        <v>1591</v>
      </c>
      <c r="C174" s="111" t="s">
        <v>2015</v>
      </c>
      <c r="D174" s="111" t="s">
        <v>461</v>
      </c>
      <c r="E174" s="111" t="s">
        <v>2016</v>
      </c>
      <c r="F174" s="111" t="s">
        <v>460</v>
      </c>
      <c r="G174" s="19" t="str">
        <f>IF(COUNTIF(bystudent!B:B, C174) &gt; 0, "yes", "no")</f>
        <v>yes</v>
      </c>
    </row>
    <row r="175" ht="18.75" customHeight="1">
      <c r="A175" s="111" t="s">
        <v>1590</v>
      </c>
      <c r="B175" s="111" t="s">
        <v>1591</v>
      </c>
      <c r="C175" s="111" t="s">
        <v>2017</v>
      </c>
      <c r="D175" s="111" t="s">
        <v>854</v>
      </c>
      <c r="E175" s="111" t="s">
        <v>2018</v>
      </c>
      <c r="F175" s="111" t="s">
        <v>853</v>
      </c>
      <c r="G175" s="19" t="str">
        <f>IF(COUNTIF(bystudent!B:B, C175) &gt; 0, "yes", "no")</f>
        <v>yes</v>
      </c>
    </row>
    <row r="176" ht="18.75" customHeight="1">
      <c r="A176" s="111" t="s">
        <v>1590</v>
      </c>
      <c r="B176" s="111" t="s">
        <v>1591</v>
      </c>
      <c r="C176" s="111" t="s">
        <v>2019</v>
      </c>
      <c r="D176" s="111" t="s">
        <v>144</v>
      </c>
      <c r="E176" s="111" t="s">
        <v>2020</v>
      </c>
      <c r="F176" s="111" t="s">
        <v>1068</v>
      </c>
      <c r="G176" s="19" t="str">
        <f>IF(COUNTIF(bystudent!B:B, C176) &gt; 0, "yes", "no")</f>
        <v>yes</v>
      </c>
    </row>
    <row r="177" ht="18.75" customHeight="1">
      <c r="A177" s="111" t="s">
        <v>1590</v>
      </c>
      <c r="B177" s="111" t="s">
        <v>1591</v>
      </c>
      <c r="C177" s="111" t="s">
        <v>2021</v>
      </c>
      <c r="D177" s="111" t="s">
        <v>202</v>
      </c>
      <c r="E177" s="111" t="s">
        <v>2022</v>
      </c>
      <c r="F177" s="111" t="s">
        <v>1249</v>
      </c>
      <c r="G177" s="19" t="str">
        <f>IF(COUNTIF(bystudent!B:B, C177) &gt; 0, "yes", "no")</f>
        <v>yes</v>
      </c>
    </row>
    <row r="178" ht="18.75" customHeight="1">
      <c r="A178" s="111" t="s">
        <v>1590</v>
      </c>
      <c r="B178" s="111" t="s">
        <v>1591</v>
      </c>
      <c r="C178" s="111" t="s">
        <v>2023</v>
      </c>
      <c r="D178" s="111" t="s">
        <v>585</v>
      </c>
      <c r="E178" s="111" t="s">
        <v>2024</v>
      </c>
      <c r="F178" s="111" t="s">
        <v>584</v>
      </c>
      <c r="G178" s="19" t="str">
        <f>IF(COUNTIF(bystudent!B:B, C178) &gt; 0, "yes", "no")</f>
        <v>yes</v>
      </c>
    </row>
    <row r="179" ht="18.75" customHeight="1">
      <c r="A179" s="111" t="s">
        <v>1590</v>
      </c>
      <c r="B179" s="111" t="s">
        <v>1591</v>
      </c>
      <c r="C179" s="111" t="s">
        <v>2025</v>
      </c>
      <c r="D179" s="111" t="s">
        <v>229</v>
      </c>
      <c r="E179" s="111" t="s">
        <v>2026</v>
      </c>
      <c r="F179" s="111" t="s">
        <v>1147</v>
      </c>
      <c r="G179" s="19" t="str">
        <f>IF(COUNTIF(bystudent!B:B, C179) &gt; 0, "yes", "no")</f>
        <v>yes</v>
      </c>
    </row>
    <row r="180" ht="18.75" customHeight="1">
      <c r="A180" s="111" t="s">
        <v>1590</v>
      </c>
      <c r="B180" s="111" t="s">
        <v>1591</v>
      </c>
      <c r="C180" s="111" t="s">
        <v>2027</v>
      </c>
      <c r="D180" s="111" t="s">
        <v>187</v>
      </c>
      <c r="E180" s="111" t="s">
        <v>2028</v>
      </c>
      <c r="F180" s="111" t="s">
        <v>967</v>
      </c>
      <c r="G180" s="19" t="str">
        <f>IF(COUNTIF(bystudent!B:B, C180) &gt; 0, "yes", "no")</f>
        <v>yes</v>
      </c>
    </row>
    <row r="181" ht="18.75" customHeight="1">
      <c r="A181" s="111" t="s">
        <v>1590</v>
      </c>
      <c r="B181" s="111" t="s">
        <v>1591</v>
      </c>
      <c r="C181" s="111" t="s">
        <v>2277</v>
      </c>
      <c r="D181" s="111" t="s">
        <v>185</v>
      </c>
      <c r="E181" s="111" t="s">
        <v>2278</v>
      </c>
      <c r="F181" s="111" t="s">
        <v>465</v>
      </c>
      <c r="G181" s="19" t="str">
        <f>IF(COUNTIF(bystudent!B:B, C181) &gt; 0, "yes", "no")</f>
        <v>yes</v>
      </c>
    </row>
    <row r="182" ht="18.75" customHeight="1">
      <c r="A182" s="111" t="s">
        <v>1590</v>
      </c>
      <c r="B182" s="111" t="s">
        <v>1591</v>
      </c>
      <c r="C182" s="111" t="s">
        <v>2029</v>
      </c>
      <c r="D182" s="111" t="s">
        <v>467</v>
      </c>
      <c r="E182" s="111" t="s">
        <v>2030</v>
      </c>
      <c r="F182" s="111" t="s">
        <v>466</v>
      </c>
      <c r="G182" s="19" t="str">
        <f>IF(COUNTIF(bystudent!B:B, C182) &gt; 0, "yes", "no")</f>
        <v>yes</v>
      </c>
    </row>
    <row r="183" ht="18.75" customHeight="1">
      <c r="A183" s="111" t="s">
        <v>1590</v>
      </c>
      <c r="B183" s="111" t="s">
        <v>1591</v>
      </c>
      <c r="C183" s="111" t="s">
        <v>2032</v>
      </c>
      <c r="D183" s="111" t="s">
        <v>333</v>
      </c>
      <c r="E183" s="111" t="s">
        <v>2034</v>
      </c>
      <c r="F183" s="111" t="s">
        <v>530</v>
      </c>
      <c r="G183" s="19" t="str">
        <f>IF(COUNTIF(bystudent!B:B, C183) &gt; 0, "yes", "no")</f>
        <v>yes</v>
      </c>
    </row>
    <row r="184" ht="18.75" customHeight="1">
      <c r="A184" s="111" t="s">
        <v>1590</v>
      </c>
      <c r="B184" s="111" t="s">
        <v>1591</v>
      </c>
      <c r="C184" s="111" t="s">
        <v>2035</v>
      </c>
      <c r="D184" s="111" t="s">
        <v>556</v>
      </c>
      <c r="E184" s="111" t="s">
        <v>2036</v>
      </c>
      <c r="F184" s="111" t="s">
        <v>555</v>
      </c>
      <c r="G184" s="19" t="str">
        <f>IF(COUNTIF(bystudent!B:B, C184) &gt; 0, "yes", "no")</f>
        <v>yes</v>
      </c>
    </row>
    <row r="185" ht="18.75" customHeight="1">
      <c r="A185" s="111" t="s">
        <v>1590</v>
      </c>
      <c r="B185" s="111" t="s">
        <v>1591</v>
      </c>
      <c r="C185" s="111" t="s">
        <v>2037</v>
      </c>
      <c r="D185" s="111" t="s">
        <v>594</v>
      </c>
      <c r="E185" s="111" t="s">
        <v>2038</v>
      </c>
      <c r="F185" s="111" t="s">
        <v>593</v>
      </c>
      <c r="G185" s="19" t="str">
        <f>IF(COUNTIF(bystudent!B:B, C185) &gt; 0, "yes", "no")</f>
        <v>yes</v>
      </c>
    </row>
    <row r="186" ht="18.75" customHeight="1">
      <c r="A186" s="111" t="s">
        <v>1590</v>
      </c>
      <c r="B186" s="111" t="s">
        <v>1591</v>
      </c>
      <c r="C186" s="111" t="s">
        <v>2039</v>
      </c>
      <c r="D186" s="111" t="s">
        <v>357</v>
      </c>
      <c r="E186" s="111" t="s">
        <v>2040</v>
      </c>
      <c r="F186" s="111" t="s">
        <v>1461</v>
      </c>
      <c r="G186" s="19" t="str">
        <f>IF(COUNTIF(bystudent!B:B, C186) &gt; 0, "yes", "no")</f>
        <v>yes</v>
      </c>
    </row>
    <row r="187" ht="18.75" customHeight="1">
      <c r="A187" s="111" t="s">
        <v>1590</v>
      </c>
      <c r="B187" s="111" t="s">
        <v>1591</v>
      </c>
      <c r="C187" s="111" t="s">
        <v>2041</v>
      </c>
      <c r="D187" s="111" t="s">
        <v>1332</v>
      </c>
      <c r="E187" s="111" t="s">
        <v>2042</v>
      </c>
      <c r="F187" s="111" t="s">
        <v>1331</v>
      </c>
      <c r="G187" s="19" t="str">
        <f>IF(COUNTIF(bystudent!B:B, C187) &gt; 0, "yes", "no")</f>
        <v>yes</v>
      </c>
    </row>
    <row r="188" ht="18.75" customHeight="1">
      <c r="A188" s="111" t="s">
        <v>1590</v>
      </c>
      <c r="B188" s="111" t="s">
        <v>1591</v>
      </c>
      <c r="C188" s="111" t="s">
        <v>2043</v>
      </c>
      <c r="D188" s="111" t="s">
        <v>1414</v>
      </c>
      <c r="E188" s="111" t="s">
        <v>2044</v>
      </c>
      <c r="F188" s="111" t="s">
        <v>1413</v>
      </c>
      <c r="G188" s="19" t="str">
        <f>IF(COUNTIF(bystudent!B:B, C188) &gt; 0, "yes", "no")</f>
        <v>yes</v>
      </c>
    </row>
    <row r="189" ht="18.75" customHeight="1">
      <c r="A189" s="111" t="s">
        <v>1590</v>
      </c>
      <c r="B189" s="111" t="s">
        <v>1591</v>
      </c>
      <c r="C189" s="111" t="s">
        <v>2045</v>
      </c>
      <c r="D189" s="111" t="s">
        <v>296</v>
      </c>
      <c r="E189" s="111" t="s">
        <v>2046</v>
      </c>
      <c r="F189" s="111" t="s">
        <v>1426</v>
      </c>
      <c r="G189" s="19" t="str">
        <f>IF(COUNTIF(bystudent!B:B, C189) &gt; 0, "yes", "no")</f>
        <v>yes</v>
      </c>
    </row>
    <row r="190" ht="18.75" customHeight="1">
      <c r="A190" s="111" t="s">
        <v>1590</v>
      </c>
      <c r="B190" s="111" t="s">
        <v>1591</v>
      </c>
      <c r="C190" s="111" t="s">
        <v>2047</v>
      </c>
      <c r="D190" s="111" t="s">
        <v>183</v>
      </c>
      <c r="E190" s="111" t="s">
        <v>2048</v>
      </c>
      <c r="F190" s="111" t="s">
        <v>488</v>
      </c>
      <c r="G190" s="19" t="str">
        <f>IF(COUNTIF(bystudent!B:B, C190) &gt; 0, "yes", "no")</f>
        <v>yes</v>
      </c>
    </row>
    <row r="191" ht="18.75" customHeight="1">
      <c r="A191" s="111" t="s">
        <v>1590</v>
      </c>
      <c r="B191" s="111" t="s">
        <v>1591</v>
      </c>
      <c r="C191" s="111" t="s">
        <v>2049</v>
      </c>
      <c r="D191" s="111" t="s">
        <v>546</v>
      </c>
      <c r="E191" s="111" t="s">
        <v>2050</v>
      </c>
      <c r="F191" s="111" t="s">
        <v>548</v>
      </c>
      <c r="G191" s="19" t="str">
        <f>IF(COUNTIF(bystudent!B:B, C191) &gt; 0, "yes", "no")</f>
        <v>yes</v>
      </c>
    </row>
    <row r="192" ht="18.75" customHeight="1">
      <c r="A192" s="111" t="s">
        <v>1590</v>
      </c>
      <c r="B192" s="111" t="s">
        <v>1591</v>
      </c>
      <c r="C192" s="111" t="s">
        <v>2051</v>
      </c>
      <c r="D192" s="111" t="s">
        <v>1422</v>
      </c>
      <c r="E192" s="111" t="s">
        <v>2052</v>
      </c>
      <c r="F192" s="111" t="s">
        <v>1421</v>
      </c>
      <c r="G192" s="19" t="str">
        <f>IF(COUNTIF(bystudent!B:B, C192) &gt; 0, "yes", "no")</f>
        <v>yes</v>
      </c>
    </row>
    <row r="193" ht="18.75" customHeight="1">
      <c r="A193" s="111" t="s">
        <v>1590</v>
      </c>
      <c r="B193" s="111" t="s">
        <v>1591</v>
      </c>
      <c r="C193" s="111" t="s">
        <v>2053</v>
      </c>
      <c r="D193" s="111" t="s">
        <v>359</v>
      </c>
      <c r="E193" s="111" t="s">
        <v>2054</v>
      </c>
      <c r="F193" s="111" t="s">
        <v>732</v>
      </c>
      <c r="G193" s="19" t="str">
        <f>IF(COUNTIF(bystudent!B:B, C193) &gt; 0, "yes", "no")</f>
        <v>yes</v>
      </c>
    </row>
    <row r="194" ht="18.75" customHeight="1">
      <c r="A194" s="111" t="s">
        <v>1590</v>
      </c>
      <c r="B194" s="111" t="s">
        <v>1591</v>
      </c>
      <c r="C194" s="111" t="s">
        <v>2055</v>
      </c>
      <c r="D194" s="111" t="s">
        <v>521</v>
      </c>
      <c r="E194" s="111" t="s">
        <v>2056</v>
      </c>
      <c r="F194" s="111" t="s">
        <v>523</v>
      </c>
      <c r="G194" s="19" t="str">
        <f>IF(COUNTIF(bystudent!B:B, C194) &gt; 0, "yes", "no")</f>
        <v>yes</v>
      </c>
    </row>
    <row r="195" ht="18.75" customHeight="1">
      <c r="A195" s="111" t="s">
        <v>1590</v>
      </c>
      <c r="B195" s="111" t="s">
        <v>1591</v>
      </c>
      <c r="C195" s="111" t="s">
        <v>2057</v>
      </c>
      <c r="D195" s="111" t="s">
        <v>535</v>
      </c>
      <c r="E195" s="111" t="s">
        <v>2058</v>
      </c>
      <c r="F195" s="111" t="s">
        <v>534</v>
      </c>
      <c r="G195" s="19" t="str">
        <f>IF(COUNTIF(bystudent!B:B, C195) &gt; 0, "yes", "no")</f>
        <v>yes</v>
      </c>
    </row>
    <row r="196" ht="18.75" customHeight="1">
      <c r="A196" s="111" t="s">
        <v>1590</v>
      </c>
      <c r="B196" s="111" t="s">
        <v>1591</v>
      </c>
      <c r="C196" s="111" t="s">
        <v>2059</v>
      </c>
      <c r="D196" s="111" t="s">
        <v>988</v>
      </c>
      <c r="E196" s="111" t="s">
        <v>2060</v>
      </c>
      <c r="F196" s="111" t="s">
        <v>987</v>
      </c>
      <c r="G196" s="19" t="str">
        <f>IF(COUNTIF(bystudent!B:B, C196) &gt; 0, "yes", "no")</f>
        <v>yes</v>
      </c>
    </row>
    <row r="197" ht="18.75" customHeight="1">
      <c r="A197" s="111" t="s">
        <v>1590</v>
      </c>
      <c r="B197" s="111" t="s">
        <v>1591</v>
      </c>
      <c r="C197" s="111" t="s">
        <v>2061</v>
      </c>
      <c r="D197" s="111" t="s">
        <v>241</v>
      </c>
      <c r="E197" s="111" t="s">
        <v>2062</v>
      </c>
      <c r="F197" s="111" t="s">
        <v>1204</v>
      </c>
      <c r="G197" s="19" t="str">
        <f>IF(COUNTIF(bystudent!B:B, C197) &gt; 0, "yes", "no")</f>
        <v>yes</v>
      </c>
    </row>
    <row r="198" ht="18.75" customHeight="1">
      <c r="A198" s="111" t="s">
        <v>1590</v>
      </c>
      <c r="B198" s="111" t="s">
        <v>1591</v>
      </c>
      <c r="C198" s="111" t="s">
        <v>2063</v>
      </c>
      <c r="D198" s="111" t="s">
        <v>1380</v>
      </c>
      <c r="E198" s="111" t="s">
        <v>2064</v>
      </c>
      <c r="F198" s="111" t="s">
        <v>1382</v>
      </c>
      <c r="G198" s="19" t="str">
        <f>IF(COUNTIF(bystudent!B:B, C198) &gt; 0, "yes", "no")</f>
        <v>yes</v>
      </c>
    </row>
    <row r="199" ht="18.75" customHeight="1">
      <c r="A199" s="111" t="s">
        <v>1590</v>
      </c>
      <c r="B199" s="111" t="s">
        <v>1591</v>
      </c>
      <c r="C199" s="111" t="s">
        <v>2065</v>
      </c>
      <c r="D199" s="111" t="s">
        <v>123</v>
      </c>
      <c r="E199" s="111" t="s">
        <v>2066</v>
      </c>
      <c r="F199" s="111" t="s">
        <v>449</v>
      </c>
      <c r="G199" s="19" t="str">
        <f>IF(COUNTIF(bystudent!B:B, C199) &gt; 0, "yes", "no")</f>
        <v>yes</v>
      </c>
    </row>
    <row r="200" ht="18.75" customHeight="1">
      <c r="A200" s="111" t="s">
        <v>1590</v>
      </c>
      <c r="B200" s="111" t="s">
        <v>1591</v>
      </c>
      <c r="C200" s="111" t="s">
        <v>2067</v>
      </c>
      <c r="D200" s="111" t="s">
        <v>265</v>
      </c>
      <c r="E200" s="111" t="s">
        <v>2068</v>
      </c>
      <c r="F200" s="111" t="s">
        <v>738</v>
      </c>
      <c r="G200" s="19" t="str">
        <f>IF(COUNTIF(bystudent!B:B, C200) &gt; 0, "yes", "no")</f>
        <v>yes</v>
      </c>
    </row>
    <row r="201" ht="18.75" customHeight="1">
      <c r="A201" s="111" t="s">
        <v>1590</v>
      </c>
      <c r="B201" s="111" t="s">
        <v>1591</v>
      </c>
      <c r="C201" s="111" t="s">
        <v>2069</v>
      </c>
      <c r="D201" s="111" t="s">
        <v>247</v>
      </c>
      <c r="E201" s="111" t="s">
        <v>2070</v>
      </c>
      <c r="F201" s="111" t="s">
        <v>398</v>
      </c>
      <c r="G201" s="19" t="str">
        <f>IF(COUNTIF(bystudent!B:B, C201) &gt; 0, "yes", "no")</f>
        <v>yes</v>
      </c>
    </row>
    <row r="202" ht="18.75" customHeight="1">
      <c r="A202" s="111" t="s">
        <v>1590</v>
      </c>
      <c r="B202" s="111" t="s">
        <v>1591</v>
      </c>
      <c r="C202" s="111" t="s">
        <v>2071</v>
      </c>
      <c r="D202" s="111" t="s">
        <v>154</v>
      </c>
      <c r="E202" s="111" t="s">
        <v>2072</v>
      </c>
      <c r="F202" s="111" t="s">
        <v>1134</v>
      </c>
      <c r="G202" s="19" t="str">
        <f>IF(COUNTIF(bystudent!B:B, C202) &gt; 0, "yes", "no")</f>
        <v>yes</v>
      </c>
    </row>
    <row r="203" ht="18.75" customHeight="1">
      <c r="A203" s="111" t="s">
        <v>1590</v>
      </c>
      <c r="B203" s="111" t="s">
        <v>1591</v>
      </c>
      <c r="C203" s="111" t="s">
        <v>2073</v>
      </c>
      <c r="D203" s="111" t="s">
        <v>267</v>
      </c>
      <c r="E203" s="111" t="s">
        <v>2074</v>
      </c>
      <c r="F203" s="111" t="s">
        <v>266</v>
      </c>
      <c r="G203" s="19" t="str">
        <f>IF(COUNTIF(bystudent!B:B, C203) &gt; 0, "yes", "no")</f>
        <v>yes</v>
      </c>
    </row>
    <row r="204" ht="18.75" customHeight="1">
      <c r="A204" s="111" t="s">
        <v>1590</v>
      </c>
      <c r="B204" s="111" t="s">
        <v>1591</v>
      </c>
      <c r="C204" s="111" t="s">
        <v>2075</v>
      </c>
      <c r="D204" s="111" t="s">
        <v>151</v>
      </c>
      <c r="E204" s="111" t="s">
        <v>2076</v>
      </c>
      <c r="F204" s="111" t="s">
        <v>1291</v>
      </c>
      <c r="G204" s="19" t="str">
        <f>IF(COUNTIF(bystudent!B:B, C204) &gt; 0, "yes", "no")</f>
        <v>yes</v>
      </c>
    </row>
    <row r="205" ht="18.75" customHeight="1">
      <c r="A205" s="111" t="s">
        <v>1590</v>
      </c>
      <c r="B205" s="111" t="s">
        <v>1591</v>
      </c>
      <c r="C205" s="111" t="s">
        <v>2077</v>
      </c>
      <c r="D205" s="111" t="s">
        <v>796</v>
      </c>
      <c r="E205" s="111" t="s">
        <v>2078</v>
      </c>
      <c r="F205" s="111" t="s">
        <v>799</v>
      </c>
      <c r="G205" s="19" t="str">
        <f>IF(COUNTIF(bystudent!B:B, C205) &gt; 0, "yes", "no")</f>
        <v>yes</v>
      </c>
    </row>
    <row r="206" ht="18.75" customHeight="1">
      <c r="A206" s="111" t="s">
        <v>1590</v>
      </c>
      <c r="B206" s="111" t="s">
        <v>1591</v>
      </c>
      <c r="C206" s="111" t="s">
        <v>2081</v>
      </c>
      <c r="D206" s="111" t="s">
        <v>282</v>
      </c>
      <c r="E206" s="111" t="s">
        <v>2082</v>
      </c>
      <c r="F206" s="111" t="s">
        <v>377</v>
      </c>
      <c r="G206" s="19" t="str">
        <f>IF(COUNTIF(bystudent!B:B, C206) &gt; 0, "yes", "no")</f>
        <v>yes</v>
      </c>
    </row>
    <row r="207" ht="18.75" customHeight="1">
      <c r="A207" s="111" t="s">
        <v>1590</v>
      </c>
      <c r="B207" s="111" t="s">
        <v>1591</v>
      </c>
      <c r="C207" s="111" t="s">
        <v>2083</v>
      </c>
      <c r="D207" s="111" t="s">
        <v>150</v>
      </c>
      <c r="E207" s="111" t="s">
        <v>2084</v>
      </c>
      <c r="F207" s="111" t="s">
        <v>721</v>
      </c>
      <c r="G207" s="19" t="str">
        <f>IF(COUNTIF(bystudent!B:B, C207) &gt; 0, "yes", "no")</f>
        <v>yes</v>
      </c>
    </row>
    <row r="208" ht="18.75" customHeight="1">
      <c r="A208" s="111" t="s">
        <v>1590</v>
      </c>
      <c r="B208" s="111" t="s">
        <v>1591</v>
      </c>
      <c r="C208" s="111" t="s">
        <v>2085</v>
      </c>
      <c r="D208" s="111" t="s">
        <v>198</v>
      </c>
      <c r="E208" s="111" t="s">
        <v>2086</v>
      </c>
      <c r="F208" s="111" t="s">
        <v>993</v>
      </c>
      <c r="G208" s="19" t="str">
        <f>IF(COUNTIF(bystudent!B:B, C208) &gt; 0, "yes", "no")</f>
        <v>yes</v>
      </c>
    </row>
    <row r="209" ht="18.75" customHeight="1">
      <c r="A209" s="111" t="s">
        <v>1590</v>
      </c>
      <c r="B209" s="111" t="s">
        <v>1591</v>
      </c>
      <c r="C209" s="111" t="s">
        <v>2087</v>
      </c>
      <c r="D209" s="111" t="s">
        <v>711</v>
      </c>
      <c r="E209" s="111" t="s">
        <v>2088</v>
      </c>
      <c r="F209" s="111" t="s">
        <v>540</v>
      </c>
      <c r="G209" s="19" t="str">
        <f>IF(COUNTIF(bystudent!B:B, C209) &gt; 0, "yes", "no")</f>
        <v>yes</v>
      </c>
    </row>
    <row r="210" ht="18.75" customHeight="1">
      <c r="A210" s="111" t="s">
        <v>1590</v>
      </c>
      <c r="B210" s="111" t="s">
        <v>1591</v>
      </c>
      <c r="C210" s="111" t="s">
        <v>2089</v>
      </c>
      <c r="D210" s="111" t="s">
        <v>923</v>
      </c>
      <c r="E210" s="111" t="s">
        <v>2090</v>
      </c>
      <c r="F210" s="111" t="s">
        <v>922</v>
      </c>
      <c r="G210" s="19" t="str">
        <f>IF(COUNTIF(bystudent!B:B, C210) &gt; 0, "yes", "no")</f>
        <v>yes</v>
      </c>
    </row>
    <row r="211" ht="18.75" customHeight="1">
      <c r="A211" s="111" t="s">
        <v>1590</v>
      </c>
      <c r="B211" s="111" t="s">
        <v>1591</v>
      </c>
      <c r="C211" s="111" t="s">
        <v>2091</v>
      </c>
      <c r="D211" s="111" t="s">
        <v>1508</v>
      </c>
      <c r="E211" s="111" t="s">
        <v>2092</v>
      </c>
      <c r="F211" s="111" t="s">
        <v>1510</v>
      </c>
      <c r="G211" s="19" t="str">
        <f>IF(COUNTIF(bystudent!B:B, C211) &gt; 0, "yes", "no")</f>
        <v>yes</v>
      </c>
    </row>
    <row r="212" ht="18.75" customHeight="1">
      <c r="A212" s="111" t="s">
        <v>1590</v>
      </c>
      <c r="B212" s="111" t="s">
        <v>1591</v>
      </c>
      <c r="C212" s="111" t="s">
        <v>2093</v>
      </c>
      <c r="D212" s="111" t="s">
        <v>261</v>
      </c>
      <c r="E212" s="111" t="s">
        <v>2094</v>
      </c>
      <c r="F212" s="111" t="s">
        <v>741</v>
      </c>
      <c r="G212" s="19" t="str">
        <f>IF(COUNTIF(bystudent!B:B, C212) &gt; 0, "yes", "no")</f>
        <v>yes</v>
      </c>
    </row>
    <row r="213" ht="18.75" customHeight="1">
      <c r="A213" s="111" t="s">
        <v>1590</v>
      </c>
      <c r="B213" s="111" t="s">
        <v>1591</v>
      </c>
      <c r="C213" s="111" t="s">
        <v>2095</v>
      </c>
      <c r="D213" s="111" t="s">
        <v>210</v>
      </c>
      <c r="E213" s="111" t="s">
        <v>2096</v>
      </c>
      <c r="F213" s="111" t="s">
        <v>1033</v>
      </c>
      <c r="G213" s="19" t="str">
        <f>IF(COUNTIF(bystudent!B:B, C213) &gt; 0, "yes", "no")</f>
        <v>yes</v>
      </c>
    </row>
    <row r="214" ht="18.75" customHeight="1">
      <c r="A214" s="111" t="s">
        <v>1590</v>
      </c>
      <c r="B214" s="111" t="s">
        <v>1591</v>
      </c>
      <c r="C214" s="111" t="s">
        <v>2097</v>
      </c>
      <c r="D214" s="111" t="s">
        <v>119</v>
      </c>
      <c r="E214" s="111" t="s">
        <v>2098</v>
      </c>
      <c r="F214" s="111" t="s">
        <v>697</v>
      </c>
      <c r="G214" s="19" t="str">
        <f>IF(COUNTIF(bystudent!B:B, C214) &gt; 0, "yes", "no")</f>
        <v>yes</v>
      </c>
    </row>
    <row r="215" ht="18.75" customHeight="1">
      <c r="A215" s="111" t="s">
        <v>1590</v>
      </c>
      <c r="B215" s="111" t="s">
        <v>1591</v>
      </c>
      <c r="C215" s="111" t="s">
        <v>2099</v>
      </c>
      <c r="D215" s="111" t="s">
        <v>881</v>
      </c>
      <c r="E215" s="111" t="s">
        <v>2100</v>
      </c>
      <c r="F215" s="111" t="s">
        <v>880</v>
      </c>
      <c r="G215" s="19" t="str">
        <f>IF(COUNTIF(bystudent!B:B, C215) &gt; 0, "yes", "no")</f>
        <v>yes</v>
      </c>
    </row>
    <row r="216" ht="18.75" customHeight="1">
      <c r="A216" s="111" t="s">
        <v>1590</v>
      </c>
      <c r="B216" s="111" t="s">
        <v>1591</v>
      </c>
      <c r="C216" s="111" t="s">
        <v>2101</v>
      </c>
      <c r="D216" s="111" t="s">
        <v>434</v>
      </c>
      <c r="E216" s="111" t="s">
        <v>2102</v>
      </c>
      <c r="F216" s="111" t="s">
        <v>433</v>
      </c>
      <c r="G216" s="19" t="str">
        <f>IF(COUNTIF(bystudent!B:B, C216) &gt; 0, "yes", "no")</f>
        <v>yes</v>
      </c>
    </row>
    <row r="217" ht="18.75" customHeight="1">
      <c r="A217" s="111" t="s">
        <v>1590</v>
      </c>
      <c r="B217" s="111" t="s">
        <v>1591</v>
      </c>
      <c r="C217" s="111" t="s">
        <v>2103</v>
      </c>
      <c r="D217" s="111" t="s">
        <v>259</v>
      </c>
      <c r="E217" s="111" t="s">
        <v>2104</v>
      </c>
      <c r="F217" s="111" t="s">
        <v>1223</v>
      </c>
      <c r="G217" s="19" t="str">
        <f>IF(COUNTIF(bystudent!B:B, C217) &gt; 0, "yes", "no")</f>
        <v>yes</v>
      </c>
    </row>
    <row r="218" ht="18.75" customHeight="1">
      <c r="A218" s="111" t="s">
        <v>1590</v>
      </c>
      <c r="B218" s="111" t="s">
        <v>1591</v>
      </c>
      <c r="C218" s="111" t="s">
        <v>2105</v>
      </c>
      <c r="D218" s="111" t="s">
        <v>253</v>
      </c>
      <c r="E218" s="111" t="s">
        <v>2106</v>
      </c>
      <c r="F218" s="111" t="s">
        <v>1308</v>
      </c>
      <c r="G218" s="19" t="str">
        <f>IF(COUNTIF(bystudent!B:B, C218) &gt; 0, "yes", "no")</f>
        <v>yes</v>
      </c>
    </row>
    <row r="219" ht="18.75" customHeight="1">
      <c r="A219" s="111" t="s">
        <v>1590</v>
      </c>
      <c r="B219" s="111" t="s">
        <v>1591</v>
      </c>
      <c r="C219" s="111" t="s">
        <v>2279</v>
      </c>
      <c r="D219" s="111" t="s">
        <v>455</v>
      </c>
      <c r="E219" s="111" t="s">
        <v>2280</v>
      </c>
      <c r="F219" s="111" t="s">
        <v>457</v>
      </c>
      <c r="G219" s="19" t="str">
        <f>IF(COUNTIF(bystudent!B:B, C219) &gt; 0, "yes", "no")</f>
        <v>yes</v>
      </c>
    </row>
    <row r="220" ht="18.75" customHeight="1">
      <c r="A220" s="111" t="s">
        <v>1590</v>
      </c>
      <c r="B220" s="111" t="s">
        <v>1591</v>
      </c>
      <c r="C220" s="111" t="s">
        <v>2107</v>
      </c>
      <c r="D220" s="111" t="s">
        <v>318</v>
      </c>
      <c r="E220" s="111" t="s">
        <v>2108</v>
      </c>
      <c r="F220" s="111" t="s">
        <v>520</v>
      </c>
      <c r="G220" s="19" t="str">
        <f>IF(COUNTIF(bystudent!B:B, C220) &gt; 0, "yes", "no")</f>
        <v>yes</v>
      </c>
    </row>
    <row r="221" ht="18.75" customHeight="1">
      <c r="A221" s="111" t="s">
        <v>1590</v>
      </c>
      <c r="B221" s="111" t="s">
        <v>1591</v>
      </c>
      <c r="C221" s="111" t="s">
        <v>2109</v>
      </c>
      <c r="D221" s="111" t="s">
        <v>264</v>
      </c>
      <c r="E221" s="111" t="s">
        <v>2110</v>
      </c>
      <c r="F221" s="111" t="s">
        <v>1286</v>
      </c>
      <c r="G221" s="19" t="str">
        <f>IF(COUNTIF(bystudent!B:B, C221) &gt; 0, "yes", "no")</f>
        <v>yes</v>
      </c>
    </row>
    <row r="222" ht="18.75" customHeight="1">
      <c r="A222" s="111" t="s">
        <v>1590</v>
      </c>
      <c r="B222" s="111" t="s">
        <v>1591</v>
      </c>
      <c r="C222" s="111" t="s">
        <v>2111</v>
      </c>
      <c r="D222" s="111" t="s">
        <v>667</v>
      </c>
      <c r="E222" s="111" t="s">
        <v>2112</v>
      </c>
      <c r="F222" s="111" t="s">
        <v>669</v>
      </c>
      <c r="G222" s="19" t="str">
        <f>IF(COUNTIF(bystudent!B:B, C222) &gt; 0, "yes", "no")</f>
        <v>yes</v>
      </c>
    </row>
    <row r="223" ht="18.75" customHeight="1">
      <c r="A223" s="111" t="s">
        <v>1590</v>
      </c>
      <c r="B223" s="111" t="s">
        <v>1591</v>
      </c>
      <c r="C223" s="111" t="s">
        <v>2113</v>
      </c>
      <c r="D223" s="111" t="s">
        <v>671</v>
      </c>
      <c r="E223" s="111" t="s">
        <v>2114</v>
      </c>
      <c r="F223" s="111" t="s">
        <v>673</v>
      </c>
      <c r="G223" s="19" t="str">
        <f>IF(COUNTIF(bystudent!B:B, C223) &gt; 0, "yes", "no")</f>
        <v>yes</v>
      </c>
    </row>
    <row r="224" ht="18.75" customHeight="1">
      <c r="A224" s="111" t="s">
        <v>1590</v>
      </c>
      <c r="B224" s="111" t="s">
        <v>1591</v>
      </c>
      <c r="C224" s="111" t="s">
        <v>2115</v>
      </c>
      <c r="D224" s="111" t="s">
        <v>821</v>
      </c>
      <c r="E224" s="111" t="s">
        <v>2116</v>
      </c>
      <c r="F224" s="111" t="s">
        <v>829</v>
      </c>
      <c r="G224" s="19" t="str">
        <f>IF(COUNTIF(bystudent!B:B, C224) &gt; 0, "yes", "no")</f>
        <v>yes</v>
      </c>
    </row>
    <row r="225" ht="18.75" customHeight="1">
      <c r="A225" s="111" t="s">
        <v>1590</v>
      </c>
      <c r="B225" s="111" t="s">
        <v>1591</v>
      </c>
      <c r="C225" s="111" t="s">
        <v>2117</v>
      </c>
      <c r="D225" s="111" t="s">
        <v>1495</v>
      </c>
      <c r="E225" s="111" t="s">
        <v>2118</v>
      </c>
      <c r="F225" s="111" t="s">
        <v>1497</v>
      </c>
      <c r="G225" s="19" t="str">
        <f>IF(COUNTIF(bystudent!B:B, C225) &gt; 0, "yes", "no")</f>
        <v>yes</v>
      </c>
    </row>
    <row r="226" ht="18.75" customHeight="1">
      <c r="A226" s="111" t="s">
        <v>1590</v>
      </c>
      <c r="B226" s="111" t="s">
        <v>1591</v>
      </c>
      <c r="C226" s="111" t="s">
        <v>2119</v>
      </c>
      <c r="D226" s="111" t="s">
        <v>496</v>
      </c>
      <c r="E226" s="111" t="s">
        <v>2120</v>
      </c>
      <c r="F226" s="111" t="s">
        <v>498</v>
      </c>
      <c r="G226" s="19" t="str">
        <f>IF(COUNTIF(bystudent!B:B, C226) &gt; 0, "yes", "no")</f>
        <v>yes</v>
      </c>
    </row>
    <row r="227" ht="18.75" customHeight="1">
      <c r="A227" s="111" t="s">
        <v>1590</v>
      </c>
      <c r="B227" s="111" t="s">
        <v>1591</v>
      </c>
      <c r="C227" s="111" t="s">
        <v>2121</v>
      </c>
      <c r="D227" s="111" t="s">
        <v>274</v>
      </c>
      <c r="E227" s="111" t="s">
        <v>2122</v>
      </c>
      <c r="F227" s="111" t="s">
        <v>1224</v>
      </c>
      <c r="G227" s="19" t="str">
        <f>IF(COUNTIF(bystudent!B:B, C227) &gt; 0, "yes", "no")</f>
        <v>yes</v>
      </c>
    </row>
    <row r="228" ht="18.75" customHeight="1">
      <c r="A228" s="111" t="s">
        <v>1590</v>
      </c>
      <c r="B228" s="111" t="s">
        <v>1591</v>
      </c>
      <c r="C228" s="111" t="s">
        <v>2123</v>
      </c>
      <c r="D228" s="111" t="s">
        <v>1276</v>
      </c>
      <c r="E228" s="111" t="s">
        <v>2124</v>
      </c>
      <c r="F228" s="111" t="s">
        <v>1280</v>
      </c>
      <c r="G228" s="19" t="str">
        <f>IF(COUNTIF(bystudent!B:B, C228) &gt; 0, "yes", "no")</f>
        <v>yes</v>
      </c>
    </row>
    <row r="229" ht="18.75" customHeight="1">
      <c r="A229" s="111" t="s">
        <v>1590</v>
      </c>
      <c r="B229" s="111" t="s">
        <v>1591</v>
      </c>
      <c r="C229" s="111" t="s">
        <v>2125</v>
      </c>
      <c r="D229" s="111" t="s">
        <v>386</v>
      </c>
      <c r="E229" s="111" t="s">
        <v>2126</v>
      </c>
      <c r="F229" s="111" t="s">
        <v>1470</v>
      </c>
      <c r="G229" s="19" t="str">
        <f>IF(COUNTIF(bystudent!B:B, C229) &gt; 0, "yes", "no")</f>
        <v>yes</v>
      </c>
    </row>
    <row r="230" ht="18.75" customHeight="1">
      <c r="A230" s="111" t="s">
        <v>1590</v>
      </c>
      <c r="B230" s="111" t="s">
        <v>1591</v>
      </c>
      <c r="C230" s="111" t="s">
        <v>2127</v>
      </c>
      <c r="D230" s="111" t="s">
        <v>895</v>
      </c>
      <c r="E230" s="111" t="s">
        <v>2128</v>
      </c>
      <c r="F230" s="111" t="s">
        <v>897</v>
      </c>
      <c r="G230" s="19" t="str">
        <f>IF(COUNTIF(bystudent!B:B, C230) &gt; 0, "yes", "no")</f>
        <v>yes</v>
      </c>
    </row>
    <row r="231" ht="18.75" customHeight="1">
      <c r="A231" s="111" t="s">
        <v>1590</v>
      </c>
      <c r="B231" s="111" t="s">
        <v>1591</v>
      </c>
      <c r="C231" s="111" t="s">
        <v>2129</v>
      </c>
      <c r="D231" s="111" t="s">
        <v>312</v>
      </c>
      <c r="E231" s="111" t="s">
        <v>2130</v>
      </c>
      <c r="F231" s="111" t="s">
        <v>1325</v>
      </c>
      <c r="G231" s="19" t="str">
        <f>IF(COUNTIF(bystudent!B:B, C231) &gt; 0, "yes", "no")</f>
        <v>yes</v>
      </c>
    </row>
    <row r="232" ht="18.75" customHeight="1">
      <c r="A232" s="111" t="s">
        <v>1590</v>
      </c>
      <c r="B232" s="111" t="s">
        <v>1591</v>
      </c>
      <c r="C232" s="111" t="s">
        <v>2131</v>
      </c>
      <c r="D232" s="111" t="s">
        <v>1351</v>
      </c>
      <c r="E232" s="111" t="s">
        <v>2132</v>
      </c>
      <c r="F232" s="111" t="s">
        <v>1350</v>
      </c>
      <c r="G232" s="19" t="str">
        <f>IF(COUNTIF(bystudent!B:B, C232) &gt; 0, "yes", "no")</f>
        <v>yes</v>
      </c>
    </row>
    <row r="233" ht="18.75" customHeight="1">
      <c r="A233" s="111" t="s">
        <v>1590</v>
      </c>
      <c r="B233" s="111" t="s">
        <v>1591</v>
      </c>
      <c r="C233" s="111" t="s">
        <v>2133</v>
      </c>
      <c r="D233" s="111" t="s">
        <v>1238</v>
      </c>
      <c r="E233" s="111" t="s">
        <v>2134</v>
      </c>
      <c r="F233" s="111" t="s">
        <v>1237</v>
      </c>
      <c r="G233" s="19" t="str">
        <f>IF(COUNTIF(bystudent!B:B, C233) &gt; 0, "yes", "no")</f>
        <v>yes</v>
      </c>
    </row>
    <row r="234" ht="18.75" customHeight="1">
      <c r="A234" s="111" t="s">
        <v>1590</v>
      </c>
      <c r="B234" s="111" t="s">
        <v>1591</v>
      </c>
      <c r="C234" s="111" t="s">
        <v>2135</v>
      </c>
      <c r="D234" s="111" t="s">
        <v>635</v>
      </c>
      <c r="E234" s="111" t="s">
        <v>2136</v>
      </c>
      <c r="F234" s="111" t="s">
        <v>637</v>
      </c>
      <c r="G234" s="19" t="str">
        <f>IF(COUNTIF(bystudent!B:B, C234) &gt; 0, "yes", "no")</f>
        <v>yes</v>
      </c>
    </row>
    <row r="235" ht="18.75" customHeight="1">
      <c r="A235" s="111" t="s">
        <v>1590</v>
      </c>
      <c r="B235" s="111" t="s">
        <v>1591</v>
      </c>
      <c r="C235" s="111" t="s">
        <v>2137</v>
      </c>
      <c r="D235" s="111" t="s">
        <v>90</v>
      </c>
      <c r="E235" s="111" t="s">
        <v>2138</v>
      </c>
      <c r="F235" s="111" t="s">
        <v>571</v>
      </c>
      <c r="G235" s="19" t="str">
        <f>IF(COUNTIF(bystudent!B:B, C235) &gt; 0, "yes", "no")</f>
        <v>yes</v>
      </c>
    </row>
    <row r="236" ht="18.75" customHeight="1">
      <c r="A236" s="111" t="s">
        <v>1590</v>
      </c>
      <c r="B236" s="111" t="s">
        <v>1591</v>
      </c>
      <c r="C236" s="111" t="s">
        <v>2139</v>
      </c>
      <c r="D236" s="111" t="s">
        <v>237</v>
      </c>
      <c r="E236" s="111" t="s">
        <v>2140</v>
      </c>
      <c r="F236" s="111" t="s">
        <v>1173</v>
      </c>
      <c r="G236" s="19" t="str">
        <f>IF(COUNTIF(bystudent!B:B, C236) &gt; 0, "yes", "no")</f>
        <v>yes</v>
      </c>
    </row>
    <row r="237" ht="18.75" customHeight="1">
      <c r="A237" s="111" t="s">
        <v>1590</v>
      </c>
      <c r="B237" s="111" t="s">
        <v>1591</v>
      </c>
      <c r="C237" s="111" t="s">
        <v>2141</v>
      </c>
      <c r="D237" s="111" t="s">
        <v>179</v>
      </c>
      <c r="E237" s="111" t="s">
        <v>2142</v>
      </c>
      <c r="F237" s="111" t="s">
        <v>567</v>
      </c>
      <c r="G237" s="19" t="str">
        <f>IF(COUNTIF(bystudent!B:B, C237) &gt; 0, "yes", "no")</f>
        <v>yes</v>
      </c>
    </row>
    <row r="238" ht="18.75" customHeight="1">
      <c r="A238" s="111" t="s">
        <v>1590</v>
      </c>
      <c r="B238" s="111" t="s">
        <v>1591</v>
      </c>
      <c r="C238" s="111" t="s">
        <v>2143</v>
      </c>
      <c r="D238" s="111" t="s">
        <v>299</v>
      </c>
      <c r="E238" s="111" t="s">
        <v>2144</v>
      </c>
      <c r="F238" s="111" t="s">
        <v>948</v>
      </c>
      <c r="G238" s="19" t="str">
        <f>IF(COUNTIF(bystudent!B:B, C238) &gt; 0, "yes", "no")</f>
        <v>yes</v>
      </c>
    </row>
    <row r="239" ht="18.75" customHeight="1">
      <c r="A239" s="111" t="s">
        <v>1590</v>
      </c>
      <c r="B239" s="111" t="s">
        <v>1591</v>
      </c>
      <c r="C239" s="111" t="s">
        <v>2145</v>
      </c>
      <c r="D239" s="111" t="s">
        <v>419</v>
      </c>
      <c r="E239" s="111" t="s">
        <v>2146</v>
      </c>
      <c r="F239" s="111" t="s">
        <v>418</v>
      </c>
      <c r="G239" s="19" t="str">
        <f>IF(COUNTIF(bystudent!B:B, C239) &gt; 0, "yes", "no")</f>
        <v>yes</v>
      </c>
    </row>
    <row r="240" ht="18.75" customHeight="1">
      <c r="A240" s="111" t="s">
        <v>1590</v>
      </c>
      <c r="B240" s="111" t="s">
        <v>1591</v>
      </c>
      <c r="C240" s="111" t="s">
        <v>2147</v>
      </c>
      <c r="D240" s="111" t="s">
        <v>200</v>
      </c>
      <c r="E240" s="111" t="s">
        <v>2148</v>
      </c>
      <c r="F240" s="111" t="s">
        <v>1516</v>
      </c>
      <c r="G240" s="19" t="str">
        <f>IF(COUNTIF(bystudent!B:B, C240) &gt; 0, "yes", "no")</f>
        <v>yes</v>
      </c>
    </row>
    <row r="241" ht="18.75" customHeight="1">
      <c r="A241" s="111" t="s">
        <v>1590</v>
      </c>
      <c r="B241" s="111" t="s">
        <v>1591</v>
      </c>
      <c r="C241" s="111" t="s">
        <v>2149</v>
      </c>
      <c r="D241" s="111" t="s">
        <v>137</v>
      </c>
      <c r="E241" s="111" t="s">
        <v>2150</v>
      </c>
      <c r="F241" s="111" t="s">
        <v>136</v>
      </c>
      <c r="G241" s="19" t="str">
        <f>IF(COUNTIF(bystudent!B:B, C241) &gt; 0, "yes", "no")</f>
        <v>yes</v>
      </c>
    </row>
    <row r="242" ht="18.75" customHeight="1">
      <c r="A242" s="111" t="s">
        <v>1590</v>
      </c>
      <c r="B242" s="111" t="s">
        <v>1591</v>
      </c>
      <c r="C242" s="111" t="s">
        <v>2151</v>
      </c>
      <c r="D242" s="111" t="s">
        <v>1042</v>
      </c>
      <c r="E242" s="111" t="s">
        <v>2152</v>
      </c>
      <c r="F242" s="111" t="s">
        <v>1041</v>
      </c>
      <c r="G242" s="19" t="str">
        <f>IF(COUNTIF(bystudent!B:B, C242) &gt; 0, "yes", "no")</f>
        <v>yes</v>
      </c>
    </row>
    <row r="243" ht="18.75" customHeight="1">
      <c r="A243" s="111" t="s">
        <v>1590</v>
      </c>
      <c r="B243" s="111" t="s">
        <v>1591</v>
      </c>
      <c r="C243" s="111" t="s">
        <v>2153</v>
      </c>
      <c r="D243" s="111" t="s">
        <v>1254</v>
      </c>
      <c r="E243" s="111" t="s">
        <v>2154</v>
      </c>
      <c r="F243" s="111" t="s">
        <v>1253</v>
      </c>
      <c r="G243" s="19" t="str">
        <f>IF(COUNTIF(bystudent!B:B, C243) &gt; 0, "yes", "no")</f>
        <v>yes</v>
      </c>
    </row>
    <row r="244" ht="18.75" customHeight="1">
      <c r="A244" s="111" t="s">
        <v>1590</v>
      </c>
      <c r="B244" s="111" t="s">
        <v>1591</v>
      </c>
      <c r="C244" s="111" t="s">
        <v>2155</v>
      </c>
      <c r="D244" s="111" t="s">
        <v>407</v>
      </c>
      <c r="E244" s="111" t="s">
        <v>2156</v>
      </c>
      <c r="F244" s="111" t="s">
        <v>863</v>
      </c>
      <c r="G244" s="19" t="str">
        <f>IF(COUNTIF(bystudent!B:B, C244) &gt; 0, "yes", "no")</f>
        <v>yes</v>
      </c>
    </row>
    <row r="245" ht="18.75" customHeight="1">
      <c r="A245" s="111" t="s">
        <v>1590</v>
      </c>
      <c r="B245" s="111" t="s">
        <v>1591</v>
      </c>
      <c r="C245" s="111" t="s">
        <v>2157</v>
      </c>
      <c r="D245" s="111" t="s">
        <v>2158</v>
      </c>
      <c r="E245" s="111" t="s">
        <v>2159</v>
      </c>
      <c r="F245" s="111" t="s">
        <v>1561</v>
      </c>
      <c r="G245" s="19" t="str">
        <f>IF(COUNTIF(bystudent!B:B, C245) &gt; 0, "yes", "no")</f>
        <v>yes</v>
      </c>
    </row>
    <row r="246" ht="18.75" customHeight="1">
      <c r="A246" s="111" t="s">
        <v>1590</v>
      </c>
      <c r="B246" s="111" t="s">
        <v>1591</v>
      </c>
      <c r="C246" s="111" t="s">
        <v>2160</v>
      </c>
      <c r="D246" s="111" t="s">
        <v>298</v>
      </c>
      <c r="E246" s="111" t="s">
        <v>2161</v>
      </c>
      <c r="F246" s="111" t="s">
        <v>1275</v>
      </c>
      <c r="G246" s="19" t="str">
        <f>IF(COUNTIF(bystudent!B:B, C246) &gt; 0, "yes", "no")</f>
        <v>yes</v>
      </c>
    </row>
    <row r="247" ht="18.75" customHeight="1">
      <c r="A247" s="111" t="s">
        <v>1590</v>
      </c>
      <c r="B247" s="111" t="s">
        <v>1591</v>
      </c>
      <c r="C247" s="111" t="s">
        <v>2162</v>
      </c>
      <c r="D247" s="111" t="s">
        <v>1482</v>
      </c>
      <c r="E247" s="111" t="s">
        <v>2163</v>
      </c>
      <c r="F247" s="111" t="s">
        <v>1484</v>
      </c>
      <c r="G247" s="19" t="str">
        <f>IF(COUNTIF(bystudent!B:B, C247) &gt; 0, "yes", "no")</f>
        <v>yes</v>
      </c>
    </row>
    <row r="248" ht="18.75" customHeight="1">
      <c r="A248" s="111" t="s">
        <v>1590</v>
      </c>
      <c r="B248" s="111" t="s">
        <v>1591</v>
      </c>
      <c r="C248" s="111" t="s">
        <v>2164</v>
      </c>
      <c r="D248" s="111" t="s">
        <v>92</v>
      </c>
      <c r="E248" s="111" t="s">
        <v>2165</v>
      </c>
      <c r="F248" s="111" t="s">
        <v>531</v>
      </c>
      <c r="G248" s="19" t="str">
        <f>IF(COUNTIF(bystudent!B:B, C248) &gt; 0, "yes", "no")</f>
        <v>yes</v>
      </c>
    </row>
    <row r="249" ht="18.75" customHeight="1">
      <c r="A249" s="111" t="s">
        <v>1590</v>
      </c>
      <c r="B249" s="111" t="s">
        <v>1591</v>
      </c>
      <c r="C249" s="111" t="s">
        <v>2166</v>
      </c>
      <c r="D249" s="111" t="s">
        <v>588</v>
      </c>
      <c r="E249" s="111" t="s">
        <v>2167</v>
      </c>
      <c r="F249" s="111" t="s">
        <v>590</v>
      </c>
      <c r="G249" s="19" t="str">
        <f>IF(COUNTIF(bystudent!B:B, C249) &gt; 0, "yes", "no")</f>
        <v>yes</v>
      </c>
    </row>
    <row r="250" ht="18.75" customHeight="1">
      <c r="A250" s="111" t="s">
        <v>1590</v>
      </c>
      <c r="B250" s="111" t="s">
        <v>1591</v>
      </c>
      <c r="C250" s="111" t="s">
        <v>2168</v>
      </c>
      <c r="D250" s="111" t="s">
        <v>79</v>
      </c>
      <c r="E250" s="111" t="s">
        <v>2169</v>
      </c>
      <c r="F250" s="111" t="s">
        <v>526</v>
      </c>
      <c r="G250" s="19" t="str">
        <f>IF(COUNTIF(bystudent!B:B, C250) &gt; 0, "yes", "no")</f>
        <v>yes</v>
      </c>
    </row>
    <row r="251" ht="18.75" customHeight="1">
      <c r="A251" s="111" t="s">
        <v>1590</v>
      </c>
      <c r="B251" s="111" t="s">
        <v>1591</v>
      </c>
      <c r="C251" s="111" t="s">
        <v>2170</v>
      </c>
      <c r="D251" s="111" t="s">
        <v>1344</v>
      </c>
      <c r="E251" s="111" t="s">
        <v>2171</v>
      </c>
      <c r="F251" s="111" t="s">
        <v>1349</v>
      </c>
      <c r="G251" s="19" t="str">
        <f>IF(COUNTIF(bystudent!B:B, C251) &gt; 0, "yes", "no")</f>
        <v>yes</v>
      </c>
    </row>
    <row r="252" ht="18.75" customHeight="1">
      <c r="A252" s="111" t="s">
        <v>1590</v>
      </c>
      <c r="B252" s="111" t="s">
        <v>1591</v>
      </c>
      <c r="C252" s="111" t="s">
        <v>2172</v>
      </c>
      <c r="D252" s="111" t="s">
        <v>371</v>
      </c>
      <c r="E252" s="111" t="s">
        <v>2173</v>
      </c>
      <c r="F252" s="111" t="s">
        <v>973</v>
      </c>
      <c r="G252" s="19" t="str">
        <f>IF(COUNTIF(bystudent!B:B, C252) &gt; 0, "yes", "no")</f>
        <v>yes</v>
      </c>
    </row>
    <row r="253" ht="18.75" customHeight="1">
      <c r="A253" s="111" t="s">
        <v>1590</v>
      </c>
      <c r="B253" s="111" t="s">
        <v>1591</v>
      </c>
      <c r="C253" s="111" t="s">
        <v>2174</v>
      </c>
      <c r="D253" s="111" t="s">
        <v>331</v>
      </c>
      <c r="E253" s="111" t="s">
        <v>2175</v>
      </c>
      <c r="F253" s="111" t="s">
        <v>1030</v>
      </c>
      <c r="G253" s="19" t="str">
        <f>IF(COUNTIF(bystudent!B:B, C253) &gt; 0, "yes", "no")</f>
        <v>yes</v>
      </c>
    </row>
    <row r="254" ht="18.75" customHeight="1">
      <c r="A254" s="111" t="s">
        <v>1590</v>
      </c>
      <c r="B254" s="111" t="s">
        <v>1591</v>
      </c>
      <c r="C254" s="111" t="s">
        <v>2176</v>
      </c>
      <c r="D254" s="111" t="s">
        <v>94</v>
      </c>
      <c r="E254" s="111" t="s">
        <v>2177</v>
      </c>
      <c r="F254" s="111" t="s">
        <v>563</v>
      </c>
      <c r="G254" s="19" t="str">
        <f>IF(COUNTIF(bystudent!B:B, C254) &gt; 0, "yes", "no")</f>
        <v>yes</v>
      </c>
    </row>
    <row r="255" ht="18.75" customHeight="1">
      <c r="A255" s="111" t="s">
        <v>1590</v>
      </c>
      <c r="B255" s="111" t="s">
        <v>1591</v>
      </c>
      <c r="C255" s="111" t="s">
        <v>2178</v>
      </c>
      <c r="D255" s="111" t="s">
        <v>631</v>
      </c>
      <c r="E255" s="111" t="s">
        <v>2179</v>
      </c>
      <c r="F255" s="111" t="s">
        <v>633</v>
      </c>
      <c r="G255" s="19" t="str">
        <f>IF(COUNTIF(bystudent!B:B, C255) &gt; 0, "yes", "no")</f>
        <v>yes</v>
      </c>
    </row>
    <row r="256" ht="18.75" customHeight="1">
      <c r="A256" s="111" t="s">
        <v>1590</v>
      </c>
      <c r="B256" s="111" t="s">
        <v>1591</v>
      </c>
      <c r="C256" s="111" t="s">
        <v>2180</v>
      </c>
      <c r="D256" s="111" t="s">
        <v>627</v>
      </c>
      <c r="E256" s="111" t="s">
        <v>2181</v>
      </c>
      <c r="F256" s="111" t="s">
        <v>629</v>
      </c>
      <c r="G256" s="19" t="str">
        <f>IF(COUNTIF(bystudent!B:B, C256) &gt; 0, "yes", "no")</f>
        <v>yes</v>
      </c>
    </row>
    <row r="257" ht="18.75" customHeight="1">
      <c r="A257" s="111" t="s">
        <v>1590</v>
      </c>
      <c r="B257" s="111" t="s">
        <v>1591</v>
      </c>
      <c r="C257" s="111" t="s">
        <v>2182</v>
      </c>
      <c r="D257" s="111" t="s">
        <v>387</v>
      </c>
      <c r="E257" s="111" t="s">
        <v>2183</v>
      </c>
      <c r="F257" s="111" t="s">
        <v>1321</v>
      </c>
      <c r="G257" s="19" t="str">
        <f>IF(COUNTIF(bystudent!B:B, C257) &gt; 0, "yes", "no")</f>
        <v>yes</v>
      </c>
    </row>
    <row r="258" ht="18.75" customHeight="1">
      <c r="A258" s="111" t="s">
        <v>1590</v>
      </c>
      <c r="B258" s="111" t="s">
        <v>1591</v>
      </c>
      <c r="C258" s="111" t="s">
        <v>2184</v>
      </c>
      <c r="D258" s="111" t="s">
        <v>848</v>
      </c>
      <c r="E258" s="111" t="s">
        <v>2185</v>
      </c>
      <c r="F258" s="111" t="s">
        <v>852</v>
      </c>
      <c r="G258" s="19" t="str">
        <f>IF(COUNTIF(bystudent!B:B, C258) &gt; 0, "yes", "no")</f>
        <v>yes</v>
      </c>
    </row>
    <row r="259" ht="18.75" customHeight="1">
      <c r="A259" s="111" t="s">
        <v>1590</v>
      </c>
      <c r="B259" s="111" t="s">
        <v>1591</v>
      </c>
      <c r="C259" s="111" t="s">
        <v>2186</v>
      </c>
      <c r="D259" s="111" t="s">
        <v>842</v>
      </c>
      <c r="E259" s="111" t="s">
        <v>2187</v>
      </c>
      <c r="F259" s="111" t="s">
        <v>841</v>
      </c>
      <c r="G259" s="19" t="str">
        <f>IF(COUNTIF(bystudent!B:B, C259) &gt; 0, "yes", "no")</f>
        <v>yes</v>
      </c>
    </row>
    <row r="260" ht="18.75" customHeight="1">
      <c r="A260" s="111" t="s">
        <v>1590</v>
      </c>
      <c r="B260" s="111" t="s">
        <v>1591</v>
      </c>
      <c r="C260" s="111" t="s">
        <v>2188</v>
      </c>
      <c r="D260" s="111" t="s">
        <v>251</v>
      </c>
      <c r="E260" s="111" t="s">
        <v>2189</v>
      </c>
      <c r="F260" s="111" t="s">
        <v>553</v>
      </c>
      <c r="G260" s="19" t="str">
        <f>IF(COUNTIF(bystudent!B:B, C260) &gt; 0, "yes", "no")</f>
        <v>yes</v>
      </c>
    </row>
    <row r="261" ht="18.75" customHeight="1">
      <c r="A261" s="111" t="s">
        <v>1590</v>
      </c>
      <c r="B261" s="111" t="s">
        <v>1591</v>
      </c>
      <c r="C261" s="111" t="s">
        <v>2190</v>
      </c>
      <c r="D261" s="111" t="s">
        <v>75</v>
      </c>
      <c r="E261" s="111" t="s">
        <v>2191</v>
      </c>
      <c r="F261" s="111" t="s">
        <v>510</v>
      </c>
      <c r="G261" s="19" t="str">
        <f>IF(COUNTIF(bystudent!B:B, C261) &gt; 0, "yes", "no")</f>
        <v>yes</v>
      </c>
    </row>
    <row r="262" ht="18.75" customHeight="1">
      <c r="A262" s="111" t="s">
        <v>1590</v>
      </c>
      <c r="B262" s="111" t="s">
        <v>1591</v>
      </c>
      <c r="C262" s="111" t="s">
        <v>2192</v>
      </c>
      <c r="D262" s="111" t="s">
        <v>1149</v>
      </c>
      <c r="E262" s="111" t="s">
        <v>2193</v>
      </c>
      <c r="F262" s="111" t="s">
        <v>1148</v>
      </c>
      <c r="G262" s="19" t="str">
        <f>IF(COUNTIF(bystudent!B:B, C262) &gt; 0, "yes", "no")</f>
        <v>yes</v>
      </c>
    </row>
    <row r="263" ht="18.75" customHeight="1">
      <c r="A263" s="111" t="s">
        <v>1590</v>
      </c>
      <c r="B263" s="111" t="s">
        <v>1591</v>
      </c>
      <c r="C263" s="111" t="s">
        <v>2194</v>
      </c>
      <c r="D263" s="111" t="s">
        <v>1190</v>
      </c>
      <c r="E263" s="111" t="s">
        <v>2195</v>
      </c>
      <c r="F263" s="111" t="s">
        <v>1189</v>
      </c>
      <c r="G263" s="19" t="str">
        <f>IF(COUNTIF(bystudent!B:B, C263) &gt; 0, "yes", "no")</f>
        <v>yes</v>
      </c>
    </row>
    <row r="264" ht="18.75" customHeight="1">
      <c r="A264" s="111" t="s">
        <v>1590</v>
      </c>
      <c r="B264" s="111" t="s">
        <v>1591</v>
      </c>
      <c r="C264" s="111" t="s">
        <v>2196</v>
      </c>
      <c r="D264" s="111" t="s">
        <v>295</v>
      </c>
      <c r="E264" s="111" t="s">
        <v>2197</v>
      </c>
      <c r="F264" s="111" t="s">
        <v>1429</v>
      </c>
      <c r="G264" s="19" t="str">
        <f>IF(COUNTIF(bystudent!B:B, C264) &gt; 0, "yes", "no")</f>
        <v>yes</v>
      </c>
    </row>
    <row r="265" ht="18.75" customHeight="1">
      <c r="A265" s="111" t="s">
        <v>1590</v>
      </c>
      <c r="B265" s="111" t="s">
        <v>1591</v>
      </c>
      <c r="C265" s="111" t="s">
        <v>2198</v>
      </c>
      <c r="D265" s="111" t="s">
        <v>2199</v>
      </c>
      <c r="E265" s="111" t="s">
        <v>2200</v>
      </c>
      <c r="F265" s="111" t="s">
        <v>1966</v>
      </c>
      <c r="G265" s="19" t="str">
        <f>IF(COUNTIF(bystudent!B:B, C265) &gt; 0, "yes", "no")</f>
        <v>yes</v>
      </c>
    </row>
    <row r="266" ht="18.75" customHeight="1">
      <c r="A266" s="111" t="s">
        <v>1590</v>
      </c>
      <c r="B266" s="111" t="s">
        <v>1591</v>
      </c>
      <c r="C266" s="111" t="s">
        <v>2201</v>
      </c>
      <c r="D266" s="111" t="s">
        <v>1327</v>
      </c>
      <c r="E266" s="111" t="s">
        <v>2202</v>
      </c>
      <c r="F266" s="111" t="s">
        <v>1329</v>
      </c>
      <c r="G266" s="19" t="str">
        <f>IF(COUNTIF(bystudent!B:B, C266) &gt; 0, "yes", "no")</f>
        <v>yes</v>
      </c>
    </row>
    <row r="267" ht="18.75" customHeight="1">
      <c r="A267" s="111" t="s">
        <v>1590</v>
      </c>
      <c r="B267" s="111" t="s">
        <v>1591</v>
      </c>
      <c r="C267" s="111" t="s">
        <v>2203</v>
      </c>
      <c r="D267" s="111" t="s">
        <v>127</v>
      </c>
      <c r="E267" s="111" t="s">
        <v>2204</v>
      </c>
      <c r="F267" s="111" t="s">
        <v>712</v>
      </c>
      <c r="G267" s="19" t="str">
        <f>IF(COUNTIF(bystudent!B:B, C267) &gt; 0, "yes", "no")</f>
        <v>yes</v>
      </c>
    </row>
    <row r="268" ht="18.75" customHeight="1">
      <c r="A268" s="111" t="s">
        <v>1590</v>
      </c>
      <c r="B268" s="111" t="s">
        <v>1591</v>
      </c>
      <c r="C268" s="111" t="s">
        <v>2205</v>
      </c>
      <c r="D268" s="111" t="s">
        <v>708</v>
      </c>
      <c r="E268" s="111" t="s">
        <v>2206</v>
      </c>
      <c r="F268" s="111" t="s">
        <v>2207</v>
      </c>
      <c r="G268" s="19" t="str">
        <f>IF(COUNTIF(bystudent!B:B, C268) &gt; 0, "yes", "no")</f>
        <v>yes</v>
      </c>
    </row>
    <row r="269" ht="18.75" customHeight="1">
      <c r="A269" s="111" t="s">
        <v>1590</v>
      </c>
      <c r="B269" s="111" t="s">
        <v>1591</v>
      </c>
      <c r="C269" s="111" t="s">
        <v>2210</v>
      </c>
      <c r="D269" s="111" t="s">
        <v>258</v>
      </c>
      <c r="E269" s="111" t="s">
        <v>2211</v>
      </c>
      <c r="F269" s="111" t="s">
        <v>1277</v>
      </c>
      <c r="G269" s="19" t="str">
        <f>IF(COUNTIF(bystudent!B:B, C269) &gt; 0, "yes", "no")</f>
        <v>yes</v>
      </c>
    </row>
    <row r="270" ht="18.75" customHeight="1">
      <c r="A270" s="111" t="s">
        <v>1590</v>
      </c>
      <c r="B270" s="111" t="s">
        <v>1591</v>
      </c>
      <c r="C270" s="111" t="s">
        <v>2212</v>
      </c>
      <c r="D270" s="111" t="s">
        <v>385</v>
      </c>
      <c r="E270" s="111" t="s">
        <v>2213</v>
      </c>
      <c r="F270" s="111" t="s">
        <v>1500</v>
      </c>
      <c r="G270" s="19" t="str">
        <f>IF(COUNTIF(bystudent!B:B, C270) &gt; 0, "yes", "no")</f>
        <v>yes</v>
      </c>
    </row>
    <row r="271" ht="18.75" customHeight="1">
      <c r="A271" s="111" t="s">
        <v>1590</v>
      </c>
      <c r="B271" s="111" t="s">
        <v>1591</v>
      </c>
      <c r="C271" s="111" t="s">
        <v>2214</v>
      </c>
      <c r="D271" s="111" t="s">
        <v>1404</v>
      </c>
      <c r="E271" s="111" t="s">
        <v>2215</v>
      </c>
      <c r="F271" s="111" t="s">
        <v>1403</v>
      </c>
      <c r="G271" s="19" t="str">
        <f>IF(COUNTIF(bystudent!B:B, C271) &gt; 0, "yes", "no")</f>
        <v>yes</v>
      </c>
    </row>
    <row r="272" ht="18.75" customHeight="1">
      <c r="A272" s="111" t="s">
        <v>1590</v>
      </c>
      <c r="B272" s="111" t="s">
        <v>1591</v>
      </c>
      <c r="C272" s="111" t="s">
        <v>2216</v>
      </c>
      <c r="D272" s="111" t="s">
        <v>2217</v>
      </c>
      <c r="E272" s="111" t="s">
        <v>2218</v>
      </c>
      <c r="F272" s="111" t="s">
        <v>1537</v>
      </c>
      <c r="G272" s="19" t="str">
        <f>IF(COUNTIF(bystudent!B:B, C272) &gt; 0, "yes", "no")</f>
        <v>yes</v>
      </c>
    </row>
    <row r="273" ht="18.75" customHeight="1">
      <c r="A273" s="111" t="s">
        <v>1590</v>
      </c>
      <c r="B273" s="111" t="s">
        <v>1591</v>
      </c>
      <c r="C273" s="111" t="s">
        <v>2219</v>
      </c>
      <c r="D273" s="111" t="s">
        <v>174</v>
      </c>
      <c r="E273" s="111" t="s">
        <v>2220</v>
      </c>
      <c r="F273" s="111" t="s">
        <v>787</v>
      </c>
      <c r="G273" s="19" t="str">
        <f>IF(COUNTIF(bystudent!B:B, C273) &gt; 0, "yes", "no")</f>
        <v>yes</v>
      </c>
    </row>
    <row r="274" ht="18.75" customHeight="1">
      <c r="A274" s="111" t="s">
        <v>1590</v>
      </c>
      <c r="B274" s="111" t="s">
        <v>1591</v>
      </c>
      <c r="C274" s="111" t="s">
        <v>2221</v>
      </c>
      <c r="D274" s="111" t="s">
        <v>1258</v>
      </c>
      <c r="E274" s="111" t="s">
        <v>2222</v>
      </c>
      <c r="F274" s="111" t="s">
        <v>1257</v>
      </c>
      <c r="G274" s="19" t="str">
        <f>IF(COUNTIF(bystudent!B:B, C274) &gt; 0, "yes", "no")</f>
        <v>yes</v>
      </c>
    </row>
    <row r="275" ht="18.75" customHeight="1">
      <c r="A275" s="111" t="s">
        <v>1590</v>
      </c>
      <c r="B275" s="111" t="s">
        <v>1591</v>
      </c>
      <c r="C275" s="111" t="s">
        <v>2223</v>
      </c>
      <c r="D275" s="111" t="s">
        <v>1372</v>
      </c>
      <c r="E275" s="111" t="s">
        <v>2224</v>
      </c>
      <c r="F275" s="111" t="s">
        <v>1374</v>
      </c>
      <c r="G275" s="19" t="str">
        <f>IF(COUNTIF(bystudent!B:B, C275) &gt; 0, "yes", "no")</f>
        <v>yes</v>
      </c>
    </row>
    <row r="276" ht="18.75" customHeight="1">
      <c r="A276" s="111" t="s">
        <v>1590</v>
      </c>
      <c r="B276" s="111" t="s">
        <v>1591</v>
      </c>
      <c r="C276" s="111" t="s">
        <v>2225</v>
      </c>
      <c r="D276" s="111" t="s">
        <v>413</v>
      </c>
      <c r="E276" s="111" t="s">
        <v>2226</v>
      </c>
      <c r="F276" s="111" t="s">
        <v>412</v>
      </c>
      <c r="G276" s="19" t="str">
        <f>IF(COUNTIF(bystudent!B:B, C276) &gt; 0, "yes", "no")</f>
        <v>yes</v>
      </c>
    </row>
    <row r="277" ht="18.75" customHeight="1">
      <c r="A277" s="111" t="s">
        <v>1590</v>
      </c>
      <c r="B277" s="111" t="s">
        <v>1591</v>
      </c>
      <c r="C277" s="111" t="s">
        <v>2227</v>
      </c>
      <c r="D277" s="111" t="s">
        <v>99</v>
      </c>
      <c r="E277" s="111" t="s">
        <v>2228</v>
      </c>
      <c r="F277" s="111" t="s">
        <v>1139</v>
      </c>
      <c r="G277" s="19" t="str">
        <f>IF(COUNTIF(bystudent!B:B, C277) &gt; 0, "yes", "no")</f>
        <v>yes</v>
      </c>
    </row>
    <row r="278" ht="18.75" customHeight="1">
      <c r="A278" s="111" t="s">
        <v>1590</v>
      </c>
      <c r="B278" s="111" t="s">
        <v>1591</v>
      </c>
      <c r="C278" s="111" t="s">
        <v>2229</v>
      </c>
      <c r="D278" s="111" t="s">
        <v>173</v>
      </c>
      <c r="E278" s="111" t="s">
        <v>2230</v>
      </c>
      <c r="F278" s="111" t="s">
        <v>779</v>
      </c>
      <c r="G278" s="19" t="str">
        <f>IF(COUNTIF(bystudent!B:B, C278) &gt; 0, "yes", "no")</f>
        <v>yes</v>
      </c>
    </row>
    <row r="279" ht="18.75" customHeight="1">
      <c r="A279" s="111" t="s">
        <v>1590</v>
      </c>
      <c r="B279" s="111" t="s">
        <v>1591</v>
      </c>
      <c r="C279" s="111" t="s">
        <v>2231</v>
      </c>
      <c r="D279" s="111" t="s">
        <v>268</v>
      </c>
      <c r="E279" s="111" t="s">
        <v>2232</v>
      </c>
      <c r="F279" s="111" t="s">
        <v>1228</v>
      </c>
      <c r="G279" s="19" t="str">
        <f>IF(COUNTIF(bystudent!B:B, C279) &gt; 0, "yes", "no")</f>
        <v>yes</v>
      </c>
    </row>
    <row r="280" ht="18.75" customHeight="1">
      <c r="A280" s="111" t="s">
        <v>1590</v>
      </c>
      <c r="B280" s="111" t="s">
        <v>1591</v>
      </c>
      <c r="C280" s="111" t="s">
        <v>2233</v>
      </c>
      <c r="D280" s="111" t="s">
        <v>204</v>
      </c>
      <c r="E280" s="111" t="s">
        <v>2234</v>
      </c>
      <c r="F280" s="111" t="s">
        <v>772</v>
      </c>
      <c r="G280" s="19" t="str">
        <f>IF(COUNTIF(bystudent!B:B, C280) &gt; 0, "yes", "no")</f>
        <v>yes</v>
      </c>
    </row>
    <row r="281" ht="18.75" customHeight="1">
      <c r="A281" s="111" t="s">
        <v>1590</v>
      </c>
      <c r="B281" s="111" t="s">
        <v>1591</v>
      </c>
      <c r="C281" s="111" t="s">
        <v>2235</v>
      </c>
      <c r="D281" s="111" t="s">
        <v>646</v>
      </c>
      <c r="E281" s="111" t="s">
        <v>2236</v>
      </c>
      <c r="F281" s="111" t="s">
        <v>648</v>
      </c>
      <c r="G281" s="19" t="str">
        <f>IF(COUNTIF(bystudent!B:B, C281) &gt; 0, "yes", "no")</f>
        <v>yes</v>
      </c>
    </row>
    <row r="282" ht="18.75" customHeight="1">
      <c r="A282" s="111" t="s">
        <v>1590</v>
      </c>
      <c r="B282" s="111" t="s">
        <v>1591</v>
      </c>
      <c r="C282" s="111" t="s">
        <v>2237</v>
      </c>
      <c r="D282" s="111" t="s">
        <v>239</v>
      </c>
      <c r="E282" s="111" t="s">
        <v>2238</v>
      </c>
      <c r="F282" s="111" t="s">
        <v>1201</v>
      </c>
      <c r="G282" s="19" t="str">
        <f>IF(COUNTIF(bystudent!B:B, C282) &gt; 0, "yes", "no")</f>
        <v>yes</v>
      </c>
    </row>
    <row r="283" ht="18.75" customHeight="1">
      <c r="A283" s="111" t="s">
        <v>1590</v>
      </c>
      <c r="B283" s="111" t="s">
        <v>1591</v>
      </c>
      <c r="C283" s="111" t="s">
        <v>2239</v>
      </c>
      <c r="D283" s="111" t="s">
        <v>618</v>
      </c>
      <c r="E283" s="111" t="s">
        <v>2240</v>
      </c>
      <c r="F283" s="111" t="s">
        <v>626</v>
      </c>
      <c r="G283" s="19" t="str">
        <f>IF(COUNTIF(bystudent!B:B, C283) &gt; 0, "yes", "no")</f>
        <v>yes</v>
      </c>
    </row>
    <row r="284" ht="18.75" customHeight="1">
      <c r="A284" s="111" t="s">
        <v>1590</v>
      </c>
      <c r="B284" s="111" t="s">
        <v>1591</v>
      </c>
      <c r="C284" s="111" t="s">
        <v>2241</v>
      </c>
      <c r="D284" s="111" t="s">
        <v>389</v>
      </c>
      <c r="E284" s="111" t="s">
        <v>2242</v>
      </c>
      <c r="F284" s="111" t="s">
        <v>1320</v>
      </c>
      <c r="G284" s="19" t="str">
        <f>IF(COUNTIF(bystudent!B:B, C284) &gt; 0, "yes", "no")</f>
        <v>yes</v>
      </c>
    </row>
    <row r="285" ht="18.75" customHeight="1">
      <c r="A285" s="111" t="s">
        <v>1590</v>
      </c>
      <c r="B285" s="111" t="s">
        <v>1591</v>
      </c>
      <c r="C285" s="111" t="s">
        <v>2283</v>
      </c>
      <c r="D285" s="111" t="s">
        <v>478</v>
      </c>
      <c r="E285" s="111" t="s">
        <v>2284</v>
      </c>
      <c r="F285" s="111" t="s">
        <v>480</v>
      </c>
      <c r="G285" s="19" t="str">
        <f>IF(COUNTIF(bystudent!B:B, C285) &gt; 0, "yes", "no")</f>
        <v>yes</v>
      </c>
    </row>
    <row r="286" ht="18.75" customHeight="1">
      <c r="A286" s="111" t="s">
        <v>1590</v>
      </c>
      <c r="B286" s="111" t="s">
        <v>1591</v>
      </c>
      <c r="C286" s="111" t="s">
        <v>2243</v>
      </c>
      <c r="D286" s="111" t="s">
        <v>128</v>
      </c>
      <c r="E286" s="111" t="s">
        <v>2244</v>
      </c>
      <c r="F286" s="111" t="s">
        <v>679</v>
      </c>
      <c r="G286" s="19" t="str">
        <f>IF(COUNTIF(bystudent!B:B, C286) &gt; 0, "yes", "no")</f>
        <v>yes</v>
      </c>
    </row>
    <row r="287" ht="18.75" customHeight="1">
      <c r="A287" s="111" t="s">
        <v>1590</v>
      </c>
      <c r="B287" s="111" t="s">
        <v>1591</v>
      </c>
      <c r="C287" s="111" t="s">
        <v>2245</v>
      </c>
      <c r="D287" s="111" t="s">
        <v>330</v>
      </c>
      <c r="E287" s="111" t="s">
        <v>2246</v>
      </c>
      <c r="F287" s="111" t="s">
        <v>1162</v>
      </c>
      <c r="G287" s="19" t="str">
        <f>IF(COUNTIF(bystudent!B:B, C287) &gt; 0, "yes", "no")</f>
        <v>yes</v>
      </c>
    </row>
    <row r="288" ht="18.75" customHeight="1">
      <c r="A288" s="111" t="s">
        <v>1590</v>
      </c>
      <c r="B288" s="111" t="s">
        <v>1591</v>
      </c>
      <c r="C288" s="111" t="s">
        <v>2247</v>
      </c>
      <c r="D288" s="111" t="s">
        <v>391</v>
      </c>
      <c r="E288" s="111" t="s">
        <v>2248</v>
      </c>
      <c r="F288" s="111" t="s">
        <v>1342</v>
      </c>
      <c r="G288" s="19" t="str">
        <f>IF(COUNTIF(bystudent!B:B, C288) &gt; 0, "yes", "no")</f>
        <v>yes</v>
      </c>
    </row>
    <row r="289" ht="18.75" customHeight="1">
      <c r="A289" s="111" t="s">
        <v>1590</v>
      </c>
      <c r="B289" s="111" t="s">
        <v>1591</v>
      </c>
      <c r="C289" s="111" t="s">
        <v>2249</v>
      </c>
      <c r="D289" s="111" t="s">
        <v>1477</v>
      </c>
      <c r="E289" s="111" t="s">
        <v>2250</v>
      </c>
      <c r="F289" s="111" t="s">
        <v>1479</v>
      </c>
      <c r="G289" s="19" t="str">
        <f>IF(COUNTIF(bystudent!B:B, C289) &gt; 0, "yes", "no")</f>
        <v>yes</v>
      </c>
    </row>
    <row r="290" ht="18.75" customHeight="1">
      <c r="A290" s="111" t="s">
        <v>1590</v>
      </c>
      <c r="B290" s="111" t="s">
        <v>1591</v>
      </c>
      <c r="C290" s="111" t="s">
        <v>2251</v>
      </c>
      <c r="D290" s="111" t="s">
        <v>1078</v>
      </c>
      <c r="E290" s="111" t="s">
        <v>2252</v>
      </c>
      <c r="F290" s="111" t="s">
        <v>1077</v>
      </c>
      <c r="G290" s="19" t="str">
        <f>IF(COUNTIF(bystudent!B:B, C290) &gt; 0, "yes", "no")</f>
        <v>yes</v>
      </c>
    </row>
    <row r="291" ht="18.75" customHeight="1">
      <c r="A291" s="111" t="s">
        <v>1590</v>
      </c>
      <c r="B291" s="111" t="s">
        <v>1591</v>
      </c>
      <c r="C291" s="111" t="s">
        <v>2253</v>
      </c>
      <c r="D291" s="111" t="s">
        <v>1283</v>
      </c>
      <c r="E291" s="111" t="s">
        <v>2254</v>
      </c>
      <c r="F291" s="111" t="s">
        <v>1282</v>
      </c>
      <c r="G291" s="19" t="str">
        <f>IF(COUNTIF(bystudent!B:B, C291) &gt; 0, "yes", "no")</f>
        <v>yes</v>
      </c>
    </row>
    <row r="292" ht="18.75" customHeight="1">
      <c r="A292" s="111" t="s">
        <v>1590</v>
      </c>
      <c r="B292" s="111" t="s">
        <v>1591</v>
      </c>
      <c r="C292" s="111" t="s">
        <v>2255</v>
      </c>
      <c r="D292" s="111" t="s">
        <v>1365</v>
      </c>
      <c r="E292" s="111" t="s">
        <v>2256</v>
      </c>
      <c r="F292" s="111" t="s">
        <v>1364</v>
      </c>
      <c r="G292" s="19" t="str">
        <f>IF(COUNTIF(bystudent!B:B, C292) &gt; 0, "yes", "no")</f>
        <v>yes</v>
      </c>
    </row>
    <row r="293" ht="18.75" customHeight="1">
      <c r="A293" s="111" t="s">
        <v>1590</v>
      </c>
      <c r="B293" s="111" t="s">
        <v>1591</v>
      </c>
      <c r="C293" s="111" t="s">
        <v>2257</v>
      </c>
      <c r="D293" s="111" t="s">
        <v>152</v>
      </c>
      <c r="E293" s="111" t="s">
        <v>2258</v>
      </c>
      <c r="F293" s="111" t="s">
        <v>1459</v>
      </c>
      <c r="G293" s="19" t="str">
        <f>IF(COUNTIF(bystudent!B:B, C293) &gt; 0, "yes", "no")</f>
        <v>yes</v>
      </c>
    </row>
    <row r="294" ht="18.75" customHeight="1">
      <c r="A294" s="111" t="s">
        <v>1590</v>
      </c>
      <c r="B294" s="111" t="s">
        <v>1591</v>
      </c>
      <c r="C294" s="111" t="s">
        <v>2259</v>
      </c>
      <c r="D294" s="111" t="s">
        <v>337</v>
      </c>
      <c r="E294" s="111" t="s">
        <v>2260</v>
      </c>
      <c r="F294" s="111" t="s">
        <v>549</v>
      </c>
      <c r="G294" s="19" t="str">
        <f>IF(COUNTIF(bystudent!B:B, C294) &gt; 0, "yes", "no")</f>
        <v>yes</v>
      </c>
    </row>
    <row r="295" ht="18.75" customHeight="1">
      <c r="A295" s="111" t="s">
        <v>1590</v>
      </c>
      <c r="B295" s="111" t="s">
        <v>1591</v>
      </c>
      <c r="C295" s="111" t="s">
        <v>2261</v>
      </c>
      <c r="D295" s="111" t="s">
        <v>184</v>
      </c>
      <c r="E295" s="111" t="s">
        <v>2262</v>
      </c>
      <c r="F295" s="111" t="s">
        <v>889</v>
      </c>
      <c r="G295" s="19" t="str">
        <f>IF(COUNTIF(bystudent!B:B, C295) &gt; 0, "yes", "no")</f>
        <v>yes</v>
      </c>
    </row>
    <row r="296" ht="18.75" customHeight="1">
      <c r="A296" s="111" t="s">
        <v>1590</v>
      </c>
      <c r="B296" s="111" t="s">
        <v>1591</v>
      </c>
      <c r="C296" s="111" t="s">
        <v>2263</v>
      </c>
      <c r="D296" s="111" t="s">
        <v>122</v>
      </c>
      <c r="E296" s="111" t="s">
        <v>2264</v>
      </c>
      <c r="F296" s="111" t="s">
        <v>1158</v>
      </c>
      <c r="G296" s="19" t="str">
        <f>IF(COUNTIF(bystudent!B:B, C296) &gt; 0, "yes", "no")</f>
        <v>yes</v>
      </c>
    </row>
    <row r="297" ht="18.75" customHeight="1">
      <c r="A297" s="111" t="s">
        <v>1590</v>
      </c>
      <c r="B297" s="111" t="s">
        <v>1591</v>
      </c>
      <c r="C297" s="111" t="s">
        <v>2265</v>
      </c>
      <c r="D297" s="111" t="s">
        <v>89</v>
      </c>
      <c r="E297" s="111" t="s">
        <v>2266</v>
      </c>
      <c r="F297" s="111" t="s">
        <v>86</v>
      </c>
      <c r="G297" s="19" t="str">
        <f>IF(COUNTIF(bystudent!B:B, C297) &gt; 0, "yes", "no")</f>
        <v>yes</v>
      </c>
    </row>
    <row r="298" ht="18.75" customHeight="1">
      <c r="A298" s="111" t="s">
        <v>1590</v>
      </c>
      <c r="B298" s="111" t="s">
        <v>1591</v>
      </c>
      <c r="C298" s="111" t="s">
        <v>2267</v>
      </c>
      <c r="D298" s="111" t="s">
        <v>835</v>
      </c>
      <c r="E298" s="111" t="s">
        <v>2268</v>
      </c>
      <c r="F298" s="111" t="s">
        <v>834</v>
      </c>
      <c r="G298" s="19" t="str">
        <f>IF(COUNTIF(bystudent!B:B, C298) &gt; 0, "yes", "no")</f>
        <v>yes</v>
      </c>
    </row>
    <row r="299" ht="18.75" customHeight="1">
      <c r="A299" s="111" t="s">
        <v>1590</v>
      </c>
      <c r="B299" s="111" t="s">
        <v>1591</v>
      </c>
      <c r="C299" s="111" t="s">
        <v>2269</v>
      </c>
      <c r="D299" s="111" t="s">
        <v>334</v>
      </c>
      <c r="E299" s="111" t="s">
        <v>2270</v>
      </c>
      <c r="F299" s="111" t="s">
        <v>865</v>
      </c>
      <c r="G299" s="19" t="str">
        <f>IF(COUNTIF(bystudent!B:B, C299) &gt; 0, "yes", "no")</f>
        <v>yes</v>
      </c>
    </row>
    <row r="300" ht="18.75" customHeight="1">
      <c r="A300" s="111" t="s">
        <v>1590</v>
      </c>
      <c r="B300" s="111" t="s">
        <v>1591</v>
      </c>
      <c r="C300" s="111" t="s">
        <v>2271</v>
      </c>
      <c r="D300" s="111" t="s">
        <v>327</v>
      </c>
      <c r="E300" s="111" t="s">
        <v>2272</v>
      </c>
      <c r="F300" s="111" t="s">
        <v>1269</v>
      </c>
      <c r="G300" s="19" t="str">
        <f>IF(COUNTIF(bystudent!B:B, C300) &gt; 0, "yes", "no")</f>
        <v>yes</v>
      </c>
    </row>
    <row r="301" ht="18.75" customHeight="1">
      <c r="A301" s="111" t="s">
        <v>1590</v>
      </c>
      <c r="B301" s="111" t="s">
        <v>1591</v>
      </c>
      <c r="C301" s="111" t="s">
        <v>2273</v>
      </c>
      <c r="D301" s="111" t="s">
        <v>231</v>
      </c>
      <c r="E301" s="111" t="s">
        <v>2274</v>
      </c>
      <c r="F301" s="111" t="s">
        <v>1182</v>
      </c>
      <c r="G301" s="19" t="str">
        <f>IF(COUNTIF(bystudent!B:B, C301) &gt; 0, "yes", "no")</f>
        <v>yes</v>
      </c>
    </row>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sheetData>
  <printOptions/>
  <pageMargins bottom="0.75" footer="0.0" header="0.0" left="0.7" right="0.7" top="0.75"/>
  <pageSetup orientation="landscape"/>
  <drawing r:id="rId1"/>
</worksheet>
</file>